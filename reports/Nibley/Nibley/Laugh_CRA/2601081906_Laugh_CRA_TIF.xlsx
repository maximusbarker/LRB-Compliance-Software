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7900" yWindow="2260" windowWidth="28800" windowHeight="15370"/>
  </bookViews>
  <sheets>
    <sheet sheetId="1" name="Updated Multi-Year Budget" state="visible" r:id="rId4"/>
    <sheet sheetId="4" name="Sheet1" state="visible" r:id="rId5"/>
    <sheet sheetId="2" name="Annual Budget" state="visible" r:id="rId6"/>
    <sheet sheetId="3" name="Acreage" state="visible" r:id="rId7"/>
  </sheets>
  <definedNames>
    <definedName name="Years">'[1]Value Summary'!$A$3:$A$17</definedName>
  </definedNames>
  <calcPr calcId="171027"/>
</workbook>
</file>

<file path=xl/comments1.xml><?xml version="1.0" encoding="utf-8"?>
<comments xmlns="http://schemas.openxmlformats.org/spreadsheetml/2006/main">
  <authors>
    <author>Author</author>
  </authors>
  <commentList>
    <comment ref="A14" authorId="0">
      <text>
        <r>
          <rPr>
            <b/>
            <color indexed="81"/>
            <family val="2"/>
            <sz val="9"/>
            <rFont val="Tahoma"/>
          </rPr>
          <t>Shanon:</t>
        </r>
        <r>
          <rPr>
            <color indexed="81"/>
            <family val="2"/>
            <sz val="9"/>
            <rFont val="Tahoma"/>
          </rPr>
          <t xml:space="preserve">
100% of tax increment from residential is returned to County, need to monitor this</t>
        </r>
      </text>
    </comment>
  </commentList>
</comments>
</file>

<file path=xl/comments3.xml><?xml version="1.0" encoding="utf-8"?>
<comments xmlns="http://schemas.openxmlformats.org/spreadsheetml/2006/main">
  <authors>
    <author>Author</author>
  </authors>
  <commentList>
    <comment ref="E16" authorId="0">
      <text/>
    </comment>
  </commentList>
</comments>
</file>

<file path=xl/sharedStrings.xml><?xml version="1.0" encoding="utf-8"?>
<sst xmlns="http://schemas.openxmlformats.org/spreadsheetml/2006/main" count="324" uniqueCount="160">
  <si>
    <t>Laugh CRA</t>
  </si>
  <si>
    <t>Multi-Year Project Area Budget Projections</t>
  </si>
  <si>
    <t>HISTORIC</t>
  </si>
  <si>
    <t>PROJECTED ========&gt;</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</si>
  <si>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</si>
  <si>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</si>
  <si>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</si>
  <si>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</si>
  <si>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</si>
  <si>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</si>
  <si>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</si>
  <si>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</si>
  <si>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</si>
  <si>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</si>
  <si>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</si>
  <si>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</si>
  <si>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</si>
  <si>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</si>
  <si>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</si>
  <si>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</si>
  <si>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</si>
  <si>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</si>
  <si>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</si>
  <si>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</si>
  <si>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 xml:space="preserve">PER Shannon Wimmer, DO NOT INCLUDE TY2023/FY2024 or TY2022/FY2023. In dispute with County over whether or not they get this. Mayor decided to just not include this year. 10/30/2020. </t>
  </si>
  <si>
    <t>Tax Year</t>
  </si>
  <si>
    <t>Payment Year</t>
  </si>
  <si>
    <t>TOTALS</t>
  </si>
  <si>
    <t>REVENUE:</t>
  </si>
  <si>
    <t>REVENUES</t>
  </si>
  <si>
    <t>TAXABLE VALUATION:</t>
  </si>
  <si>
    <t>Developed</t>
  </si>
  <si>
    <t>Real Property</t>
  </si>
  <si>
    <t>Undeveloped</t>
  </si>
  <si>
    <t>Personal Property</t>
  </si>
  <si>
    <t>Centrally Assessed</t>
  </si>
  <si>
    <t>Total Assessed Value</t>
  </si>
  <si>
    <t>Base Year Value</t>
  </si>
  <si>
    <t>Total Incremental Assessed Value</t>
  </si>
  <si>
    <t>TAX RATES</t>
  </si>
  <si>
    <t>1010_BEAVER</t>
  </si>
  <si>
    <t>1010_BOX ELDER</t>
  </si>
  <si>
    <t>1010_CACHE</t>
  </si>
  <si>
    <t>1010_CARBON</t>
  </si>
  <si>
    <t>1010_DAVIS</t>
  </si>
  <si>
    <t>1010_EMERY COUNTY</t>
  </si>
  <si>
    <t>1010_IRON</t>
  </si>
  <si>
    <t>1010_JUAB</t>
  </si>
  <si>
    <t>1010_KANE</t>
  </si>
  <si>
    <t>1010_MORGAN</t>
  </si>
  <si>
    <t>PARTICIPATION PERCENTAGES</t>
  </si>
  <si>
    <t>Tooele County</t>
  </si>
  <si>
    <t>Tooele County School District</t>
  </si>
  <si>
    <t>Tooele City</t>
  </si>
  <si>
    <t>PROJECT PORTION</t>
  </si>
  <si>
    <t>Total Capped Amount of $900,000</t>
  </si>
  <si>
    <t>Total Capped Amount of $2,500,000</t>
  </si>
  <si>
    <t>Total Capped Amount of $2,000,000</t>
  </si>
  <si>
    <t>Total Property Tax Increment Available to RDA</t>
  </si>
  <si>
    <t xml:space="preserve">Interest Revenues Earned </t>
  </si>
  <si>
    <t>Total Tax Uncollected Tax Increment</t>
  </si>
  <si>
    <t>Total Tax Increment Actually Collected and Paid</t>
  </si>
  <si>
    <t>RDA Fund Balance</t>
  </si>
  <si>
    <t>Total Sources of Revenue</t>
  </si>
  <si>
    <t>Test Development: 150 residential units, 50,000 sq ft commercial space, 25,000 sq ft industrial. Recent developments include new shopping center and residential complex.</t>
  </si>
  <si>
    <t>COMBINED BUDGET - ALL PROJECT AREAS</t>
  </si>
  <si>
    <t>Major mixed-use development with residential, commercial, and retail components. Infrastructure improvements completed including roads, utilities, and public spaces.</t>
  </si>
  <si>
    <t>EXPENDITURES</t>
  </si>
  <si>
    <t>Infrastructure improvements, public facilities, economic development incentives, and administrative costs.</t>
  </si>
  <si>
    <r>
      <t>ACTUAL</t>
    </r>
    <r>
      <rPr>
        <color rgb="FF000000"/>
        <family val="2"/>
        <sz val="12"/>
        <rFont val="Gill Sans MT"/>
      </rPr>
      <t xml:space="preserve"> </t>
    </r>
  </si>
  <si>
    <t>PROJECTIONS</t>
  </si>
  <si>
    <t>REMAINING LIFE</t>
  </si>
  <si>
    <t>PROJECT AREA BUDGET AND USE OF FUNDS</t>
  </si>
  <si>
    <t>Development plan implementation on schedule. All phases completed as planned with strong community support and economic impact.</t>
  </si>
  <si>
    <t>TY 2018/FY 2019 TOTALS</t>
  </si>
  <si>
    <t>(INCLUDES FY 2019 TOTALS)</t>
  </si>
  <si>
    <t>CRA Administration @ 5%</t>
  </si>
  <si>
    <t>No significant issues to report. Project proceeding as expected.</t>
  </si>
  <si>
    <t>CRA Housing Requirement @ 20%</t>
  </si>
  <si>
    <t>Guaranteed Developer Payment</t>
  </si>
  <si>
    <t>Guaranteed annual payment of  $150,000 for 15 years regardless of tax increment collections.  In addition to 95%?</t>
  </si>
  <si>
    <t>Developer Reimbursement @ 95%</t>
  </si>
  <si>
    <t>Reimbursement 95% | Cap $4,754,000 | Developer reimbursed at 95% of increment until cap is met.</t>
  </si>
  <si>
    <t>Total Expenditures</t>
  </si>
  <si>
    <t xml:space="preserve">Annual Developer payment of 95% of tax increment. </t>
  </si>
  <si>
    <t>RETAINED PORTION OF TAX INCREMENT</t>
  </si>
  <si>
    <t>FY 2019 TOTALS</t>
  </si>
  <si>
    <t>(INCLUDES 2019 TOTALS)</t>
  </si>
  <si>
    <t>Original budget shows these values, which include residential</t>
  </si>
  <si>
    <t>CALCULATIONS FOR REPORT</t>
  </si>
  <si>
    <t>Relative Growth in Assessed Values</t>
  </si>
  <si>
    <t>Project Area</t>
  </si>
  <si>
    <t>Current Year Assessed Value</t>
  </si>
  <si>
    <t>Prior Year Assessed Value</t>
  </si>
  <si>
    <t>Annual Growth Rate</t>
  </si>
  <si>
    <t>Lifetime Growth Rate each year</t>
  </si>
  <si>
    <t>AAGR</t>
  </si>
  <si>
    <t>CAGR</t>
  </si>
  <si>
    <t># Years since base</t>
  </si>
  <si>
    <t>Growth in Tax Increment</t>
  </si>
  <si>
    <t>Tax Increment from Project Area</t>
  </si>
  <si>
    <t>Annual Actual Revenues</t>
  </si>
  <si>
    <t>Annual Base Year Value Revenues</t>
  </si>
  <si>
    <t>Lifetime Actual Revenues</t>
  </si>
  <si>
    <t>Lifetime Base Year Value Revenues</t>
  </si>
  <si>
    <t>Annual % Above Base</t>
  </si>
  <si>
    <t>Lifetime % Above Base</t>
  </si>
  <si>
    <t>Pass Thru Increment (above base)</t>
  </si>
  <si>
    <t>Table 2.10</t>
  </si>
  <si>
    <t>PROJECT AREA BUDGET</t>
  </si>
  <si>
    <t>FY 2019 - 2032</t>
  </si>
  <si>
    <t>Property Tax Increment</t>
  </si>
  <si>
    <t>Transient Room Tax</t>
  </si>
  <si>
    <t>Sales Tax Increment</t>
  </si>
  <si>
    <t>Developer Contributions to Debt Service</t>
  </si>
  <si>
    <t xml:space="preserve">Interest Revenue </t>
  </si>
  <si>
    <t xml:space="preserve">Total Revenue [1] </t>
  </si>
  <si>
    <t>CDA Administration @ 5%</t>
  </si>
  <si>
    <t>Debt Service Payments</t>
  </si>
  <si>
    <t>Development Activities</t>
  </si>
  <si>
    <t>Other Development Activities</t>
  </si>
  <si>
    <t xml:space="preserve">[1] The tax increment revenues outlined in the Forecasted Project Area Budget are based upon the completion of various projects as outlined in the Development Agreement by FY 2018. These include the construction of a full service hotel with a minimum of 10 floors and 300 guest rooms, a connected convention center of not less than 100,000 square feet, a limited service hotel with 200 – 220 guest rooms, 2 restaurants, and other necessary supporting businesses.  </t>
  </si>
  <si>
    <t>GROWTH IN ASSESSED VALUE</t>
  </si>
  <si>
    <t>CURRENT YEAR</t>
  </si>
  <si>
    <t>COMPARISON YEAR</t>
  </si>
  <si>
    <t>GROWTH RATE</t>
  </si>
  <si>
    <t xml:space="preserve">CAGR </t>
  </si>
  <si>
    <t>ASSESSED VALUES IN PROJECT AREA</t>
  </si>
  <si>
    <t>Annual Growth in Project Area (2024 vs. 2023)</t>
  </si>
  <si>
    <t>N/A</t>
  </si>
  <si>
    <t>Life Growth in Project Area (2024 vs. Base)</t>
  </si>
  <si>
    <t>GROWTH IN TAX INCREMENT</t>
  </si>
  <si>
    <t>ORIGINAL BUDGET* REVENUES</t>
  </si>
  <si>
    <t>ACTUAL REVENUE</t>
  </si>
  <si>
    <t>BASE YEAR VALUE REVENUES</t>
  </si>
  <si>
    <t xml:space="preserve">% </t>
  </si>
  <si>
    <t xml:space="preserve">ABOVE </t>
  </si>
  <si>
    <t>BASE</t>
  </si>
  <si>
    <t>TAX INCREMENT FROM PROJECT AREA</t>
  </si>
  <si>
    <t>Tax Year 2024</t>
  </si>
  <si>
    <t>Lifetime Revenue (2017-2026)</t>
  </si>
  <si>
    <t>PASS THROUGH INCREMENT (ABOVE BASE)</t>
  </si>
  <si>
    <t xml:space="preserve"> FY 2025-2045</t>
  </si>
  <si>
    <t>Totals</t>
  </si>
  <si>
    <t>Total Revenue</t>
  </si>
  <si>
    <t>Developer Reimbursment</t>
  </si>
  <si>
    <t>1000 North Retail Community Reinvestment Area</t>
  </si>
  <si>
    <t>Year</t>
  </si>
  <si>
    <t xml:space="preserve">Real &amp; Centrally Assessed </t>
  </si>
  <si>
    <t>Total Tax Rate</t>
  </si>
  <si>
    <t>PROPERTY TAX INCREMENT REVENUES</t>
  </si>
  <si>
    <t>Total Property Tax Increment</t>
  </si>
  <si>
    <t>Total Property Tax Increment Revenue to Project Area</t>
  </si>
  <si>
    <t>Interest Revenues Earned</t>
  </si>
  <si>
    <t>Total Tax Uncollected and Paid</t>
  </si>
  <si>
    <t>Total Acres</t>
  </si>
  <si>
    <t>% Developed</t>
  </si>
  <si>
    <t>% Undeveloped</t>
  </si>
  <si>
    <t>New Development</t>
  </si>
  <si>
    <t>New Dev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</si>
</sst>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quot;$&quot;* #,##0_);_(&quot;$&quot;* (#,##0);_(&quot;$&quot;* &quot;-&quot;_);_(@_)"/>
    <numFmt numFmtId="165" formatCode="_(* #,##0_);_(* (#,##0);_(* &quot;-&quot;??_);_(@_)"/>
    <numFmt numFmtId="166" formatCode="&quot;$&quot;#,##0_);[Red](&quot;$&quot;#,##0)"/>
    <numFmt numFmtId="167" formatCode="_(* #,##0_);_(* (#,##0);_(* &quot;-&quot;_);_(@_)"/>
    <numFmt numFmtId="168" formatCode="0.0000%"/>
    <numFmt numFmtId="169" formatCode="_(&quot;$&quot;* #,##0_);_(&quot;$&quot;* (#,##0);_(&quot;$&quot;* &quot;-&quot;??_);_(@_)"/>
    <numFmt numFmtId="170" formatCode="_(* #,##0.00_);_(* (#,##0.00);_(* &quot;-&quot;??_);_(@_)"/>
    <numFmt numFmtId="171" formatCode="#,##0%"/>
    <numFmt numFmtId="172" formatCode="_(* #,##0.000000_);_(* (#,##0.000000);_(* &quot;-&quot;??_);_(@_)"/>
    <numFmt numFmtId="173" formatCode="0.0%"/>
  </numFmts>
  <fonts count="46" x14ac:knownFonts="1">
    <font>
      <color theme="1"/>
      <family val="2"/>
      <scheme val="minor"/>
      <sz val="11"/>
      <name val="Calibri"/>
    </font>
    <font>
      <color theme="1"/>
      <family val="2"/>
      <sz val="22"/>
      <name val="Arial Narrow"/>
    </font>
    <font>
      <color theme="1"/>
      <family val="2"/>
      <sz val="24"/>
      <name val="Gill Sans MT"/>
    </font>
    <font>
      <color theme="1"/>
      <family val="2"/>
      <scheme val="minor"/>
      <sz val="24"/>
      <name val="Calibri"/>
    </font>
    <font>
      <color theme="1"/>
      <family val="2"/>
      <sz val="14"/>
      <name val="Arial Narrow"/>
    </font>
    <font>
      <color theme="1"/>
      <family val="2"/>
      <sz val="16"/>
      <name val="Gill Sans MT"/>
    </font>
    <font>
      <family val="2"/>
      <sz val="10"/>
      <name val="Arial Narrow"/>
    </font>
    <font>
      <color theme="1"/>
      <family val="2"/>
      <sz val="11"/>
      <name val="Arial Narrow"/>
    </font>
    <font>
      <family val="2"/>
      <sz val="11"/>
      <name val="Arial Narrow"/>
    </font>
    <font>
      <color rgb="FF244061"/>
      <family val="1"/>
      <sz val="9"/>
      <name val="Palatino Linotype"/>
    </font>
    <font>
      <color rgb="FFFF0000"/>
      <family val="2"/>
      <scheme val="minor"/>
      <sz val="11"/>
      <name val="Calibri"/>
    </font>
    <font>
      <color theme="0"/>
      <family val="2"/>
      <sz val="12"/>
      <name val="Gill Sans MT"/>
    </font>
    <font>
      <b/>
      <color theme="1"/>
      <family val="2"/>
      <sz val="11"/>
      <name val="Gill Sans MT"/>
    </font>
    <font>
      <color theme="1"/>
      <family val="2"/>
      <sz val="11"/>
      <name val="Gill Sans MT"/>
    </font>
    <font>
      <color rgb="FF1F4E78"/>
      <family val="2"/>
      <sz val="10"/>
      <name val="Gill Sans MT"/>
    </font>
    <font>
      <family val="2"/>
      <sz val="10"/>
      <name val="Gill Sans MT"/>
    </font>
    <font>
      <b/>
      <color theme="0"/>
      <family val="2"/>
      <sz val="11"/>
      <name val="Arial Narrow"/>
    </font>
    <font>
      <b/>
      <color theme="1"/>
      <family val="2"/>
      <sz val="11"/>
      <name val="Arial Narrow"/>
    </font>
    <font>
      <b/>
      <family val="2"/>
      <sz val="10"/>
      <name val="Gill Sans MT"/>
    </font>
    <font>
      <b/>
      <family val="2"/>
      <sz val="11"/>
      <name val="Arial Narrow"/>
    </font>
    <font>
      <i/>
      <color rgb="FF00A7E1"/>
      <family val="2"/>
      <sz val="11"/>
      <name val="Arial Narrow"/>
    </font>
    <font>
      <b/>
      <i/>
      <color rgb="FF00A7E1"/>
      <family val="2"/>
      <sz val="11"/>
      <name val="Arial Narrow"/>
    </font>
    <font>
      <b/>
      <i/>
      <family val="2"/>
      <sz val="10"/>
      <name val="Arial Narrow"/>
    </font>
    <font>
      <color rgb="FFFFFFFF"/>
      <family val="2"/>
      <sz val="14"/>
      <name val="Arial"/>
    </font>
    <font>
      <color rgb="FF000000"/>
      <family val="2"/>
      <sz val="11"/>
      <name val="Gill Sans MT"/>
    </font>
    <font>
      <color rgb="FF000000"/>
      <family val="2"/>
      <sz val="10"/>
      <name val="Gill Sans MT"/>
    </font>
    <font>
      <b/>
      <color rgb="FF000000"/>
      <family val="2"/>
      <sz val="10"/>
      <name val="Gill Sans MT"/>
    </font>
    <font>
      <family val="2"/>
      <sz val="11"/>
      <name val="Gill Sans MT"/>
    </font>
    <font>
      <b/>
      <family val="2"/>
      <sz val="11"/>
      <name val="Gill Sans MT"/>
    </font>
    <font>
      <u/>
      <color theme="10"/>
      <family val="2"/>
      <scheme val="minor"/>
      <sz val="11"/>
      <name val="Calibri"/>
    </font>
    <font>
      <family val="1"/>
      <sz val="10"/>
      <name val="Palatino Linotype"/>
    </font>
    <font>
      <family val="2"/>
      <sz val="11"/>
      <name val="Calibri"/>
    </font>
    <font>
      <u/>
      <family val="2"/>
      <sz val="11"/>
      <name val="Arial Narrow"/>
    </font>
    <font>
      <color indexed="9"/>
      <family val="2"/>
      <sz val="11"/>
      <name val="Arial Narrow"/>
    </font>
    <font>
      <b/>
      <color rgb="FFFFFFFF"/>
      <family val="2"/>
      <sz val="12"/>
      <name val="Open Sans"/>
    </font>
    <font>
      <b/>
      <family val="2"/>
      <sz val="12"/>
      <name val="Open Sans"/>
    </font>
    <font>
      <b/>
      <color theme="0"/>
      <family val="2"/>
      <sz val="11"/>
      <name val="Open Sans"/>
    </font>
    <font>
      <b/>
      <color theme="0"/>
      <family val="2"/>
      <sz val="12"/>
      <name val="Open Sans"/>
    </font>
    <font>
      <family val="2"/>
      <sz val="11"/>
      <name val="Open Sans"/>
    </font>
    <font>
      <family val="2"/>
      <sz val="12"/>
      <name val="Arial Narrow"/>
    </font>
    <font>
      <b/>
      <color theme="0"/>
      <family val="2"/>
      <sz val="10"/>
      <name val="Open Sans"/>
    </font>
    <font>
      <family val="2"/>
      <sz val="10"/>
      <name val="Open Sans"/>
    </font>
    <font>
      <b/>
      <family val="2"/>
      <sz val="10"/>
      <name val="Open Sans"/>
    </font>
    <font>
      <color theme="1"/>
      <family val="2"/>
      <sz val="18"/>
      <name val="Gill Sans MT"/>
    </font>
    <font>
      <color theme="1"/>
      <family val="2"/>
      <sz val="26"/>
      <name val="Gill Sans MT"/>
    </font>
    <font>
      <color rgb="FF00B0F0"/>
      <family val="2"/>
      <sz val="11"/>
      <name val="Arial Narrow"/>
    </font>
  </fonts>
  <fills count="14">
    <fill>
      <patternFill patternType="none"/>
    </fill>
    <fill>
      <patternFill patternType="gray125"/>
    </fill>
    <fill>
      <patternFill patternType="solid">
        <fgColor theme="0" tint="-0.0499893185216834"/>
        <bgColor indexed="64"/>
      </patternFill>
    </fill>
    <fill>
      <patternFill patternType="solid">
        <fgColor theme="1"/>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9" tint="0.7999816888943144"/>
        <bgColor indexed="64"/>
      </patternFill>
    </fill>
    <fill>
      <patternFill patternType="solid">
        <fgColor rgb="FF808080"/>
        <bgColor indexed="64"/>
      </patternFill>
    </fill>
    <fill>
      <patternFill patternType="solid">
        <fgColor rgb="FFBFBFBF"/>
        <bgColor indexed="64"/>
      </patternFill>
    </fill>
    <fill>
      <patternFill patternType="solid">
        <fgColor rgb="FFD9D9D9"/>
        <bgColor indexed="64"/>
      </patternFill>
    </fill>
    <fill>
      <patternFill patternType="solid">
        <fgColor theme="9" tint="0.5999938962981048"/>
        <bgColor indexed="64"/>
      </patternFill>
    </fill>
    <fill>
      <patternFill patternType="solid">
        <fgColor indexed="43"/>
        <bgColor indexed="64"/>
      </patternFill>
    </fill>
    <fill>
      <patternFill patternType="solid">
        <fgColor indexed="22"/>
        <bgColor indexed="64"/>
      </patternFill>
    </fill>
  </fills>
  <borders count="58">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medium">
        <color rgb="FF021E2F"/>
      </bottom>
      <diagonal/>
    </border>
    <border>
      <left style="thin">
        <color indexed="64"/>
      </left>
      <right style="thin">
        <color indexed="64"/>
      </right>
      <top style="thin">
        <color indexed="64"/>
      </top>
      <bottom style="medium">
        <color rgb="FF021E2F"/>
      </bottom>
      <diagonal/>
    </border>
    <border>
      <left/>
      <right/>
      <top style="thin">
        <color indexed="64"/>
      </top>
      <bottom style="medium">
        <color rgb="FF021E2F"/>
      </bottom>
      <diagonal/>
    </border>
    <border>
      <left style="thin">
        <color indexed="64"/>
      </left>
      <right style="thin">
        <color indexed="64"/>
      </right>
      <top/>
      <bottom style="medium">
        <color rgb="FF021E2F"/>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rgb="FF000000"/>
      </left>
      <right/>
      <top style="thin">
        <color rgb="FF000000"/>
      </top>
      <bottom style="thin">
        <color indexed="64"/>
      </bottom>
      <diagonal/>
    </border>
    <border>
      <left style="thin">
        <color indexed="64"/>
      </left>
      <right style="thin">
        <color indexed="64"/>
      </right>
      <top style="medium">
        <color indexed="64"/>
      </top>
      <bottom style="thin">
        <color indexed="64"/>
      </bottom>
      <diagonal/>
    </border>
    <border>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rgb="FF000000"/>
      </bottom>
      <diagonal/>
    </border>
    <border>
      <left style="thin">
        <color indexed="64"/>
      </left>
      <right style="thin">
        <color indexed="64"/>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right/>
      <top style="thin">
        <color indexed="55"/>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rgb="FF000000"/>
      </left>
      <right/>
      <top style="thin">
        <color indexed="64"/>
      </top>
      <bottom/>
      <diagonal/>
    </border>
    <border>
      <left style="thin">
        <color rgb="FF000000"/>
      </left>
      <right/>
      <top/>
      <bottom style="thin">
        <color indexed="64"/>
      </bottom>
      <diagonal/>
    </border>
    <border>
      <left style="thin">
        <color rgb="FF000000"/>
      </left>
      <right/>
      <top/>
      <bottom style="thin">
        <color rgb="FF000000"/>
      </bottom>
      <diagonal/>
    </border>
    <border>
      <left style="thin">
        <color indexed="64"/>
      </left>
      <right/>
      <top style="thin">
        <color rgb="FF000000"/>
      </top>
      <bottom/>
      <diagonal/>
    </border>
    <border>
      <left/>
      <right/>
      <top style="medium">
        <color rgb="FF808080"/>
      </top>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style="medium">
        <color rgb="FF808080"/>
      </left>
      <right style="medium">
        <color rgb="FF808080"/>
      </right>
      <top/>
      <bottom/>
      <diagonal/>
    </border>
    <border>
      <left style="medium">
        <color rgb="FF808080"/>
      </left>
      <right style="medium">
        <color rgb="FF808080"/>
      </right>
      <top/>
      <bottom style="medium">
        <color rgb="FF808080"/>
      </bottom>
      <diagonal/>
    </border>
    <border>
      <left/>
      <right/>
      <top/>
      <bottom style="medium">
        <color rgb="FF808080"/>
      </bottom>
      <diagonal/>
    </border>
    <border>
      <left style="medium">
        <color rgb="FF808080"/>
      </left>
      <right style="medium">
        <color rgb="FF808080"/>
      </right>
      <top style="medium">
        <color rgb="FF808080"/>
      </top>
      <bottom/>
      <diagonal/>
    </border>
    <border>
      <left style="thin">
        <color rgb="FF000000"/>
      </left>
      <right style="thin">
        <color rgb="FF000000"/>
      </right>
      <top/>
      <bottom style="thin">
        <color indexed="64"/>
      </bottom>
      <diagonal/>
    </border>
    <border>
      <left/>
      <right/>
      <top style="medium">
        <color rgb="FF808080"/>
      </top>
      <bottom style="medium">
        <color rgb="FF808080"/>
      </bottom>
      <diagonal/>
    </border>
    <border>
      <left/>
      <right style="medium">
        <color rgb="FF808080"/>
      </right>
      <top/>
      <bottom style="medium">
        <color rgb="FF808080"/>
      </bottom>
      <diagonal/>
    </border>
    <border>
      <left/>
      <right style="medium">
        <color rgb="FF808080"/>
      </right>
      <top/>
      <bottom style="thick">
        <color rgb="FF808080"/>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rgb="FF404040"/>
      </bottom>
      <diagonal/>
    </border>
    <border>
      <left/>
      <right style="medium">
        <color rgb="FF404040"/>
      </right>
      <top/>
      <bottom style="medium">
        <color rgb="FF404040"/>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diagonal/>
    </border>
  </borders>
  <cellStyleXfs count="1">
    <xf numFmtId="0" fontId="0" fillId="0" borderId="0"/>
  </cellStyleXfs>
  <cellXfs count="287">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xf numFmtId="0" fontId="3" fillId="0" borderId="0" xfId="0" applyFont="1"/>
    <xf numFmtId="0" fontId="4" fillId="0" borderId="0" xfId="0" applyFont="1" applyAlignment="1">
      <alignment horizontal="center"/>
    </xf>
    <xf numFmtId="0" fontId="0" fillId="0" borderId="0" xfId="0" applyAlignment="1">
      <alignment horizontal="center"/>
    </xf>
    <xf numFmtId="164" fontId="0" fillId="0" borderId="0" xfId="0" applyNumberFormat="1"/>
    <xf numFmtId="0" fontId="5" fillId="0" borderId="0" xfId="0" applyFont="1" applyAlignment="1">
      <alignment horizontal="left" indent="2"/>
    </xf>
    <xf numFmtId="0" fontId="6" fillId="0" borderId="0" xfId="0" applyFont="1"/>
    <xf numFmtId="0" fontId="7" fillId="0" borderId="1" xfId="0" applyFont="1" applyBorder="1" applyAlignment="1">
      <alignment horizontal="left"/>
    </xf>
    <xf numFmtId="0" fontId="0" fillId="0" borderId="2" xfId="0" applyBorder="1"/>
    <xf numFmtId="165" fontId="6" fillId="0" borderId="0" xfId="0" applyNumberFormat="1" applyFont="1"/>
    <xf numFmtId="10" fontId="6" fillId="0" borderId="0" xfId="0" applyNumberFormat="1" applyFont="1"/>
    <xf numFmtId="9" fontId="8" fillId="0" borderId="0" xfId="0" applyNumberFormat="1" applyFont="1"/>
    <xf numFmtId="166" fontId="9" fillId="0" borderId="0" xfId="0" applyNumberFormat="1" applyFont="1" applyAlignment="1">
      <alignment horizontal="right"/>
    </xf>
    <xf numFmtId="166" fontId="8" fillId="0" borderId="0" xfId="0" applyNumberFormat="1" applyFont="1"/>
    <xf numFmtId="0" fontId="7" fillId="0" borderId="0" xfId="0" applyFont="1"/>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7" fillId="2" borderId="6" xfId="0" applyFont="1" applyFill="1" applyBorder="1" applyAlignment="1">
      <alignment horizontal="center"/>
    </xf>
    <xf numFmtId="0" fontId="10" fillId="0" borderId="0" xfId="0" applyFont="1"/>
    <xf numFmtId="0" fontId="7" fillId="0" borderId="0" xfId="0" applyFont="1" applyAlignment="1">
      <alignment horizontal="right"/>
    </xf>
    <xf numFmtId="0" fontId="7" fillId="2" borderId="7" xfId="0" applyFont="1" applyFill="1" applyBorder="1" applyAlignment="1">
      <alignment horizontal="center"/>
    </xf>
    <xf numFmtId="0" fontId="7" fillId="2" borderId="8" xfId="0" applyFont="1" applyFill="1" applyBorder="1" applyAlignment="1">
      <alignment horizont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7" fillId="2" borderId="11" xfId="0" applyFont="1" applyFill="1" applyBorder="1" applyAlignment="1">
      <alignment horizontal="center"/>
    </xf>
    <xf numFmtId="0" fontId="7" fillId="2" borderId="12" xfId="0" applyFont="1" applyFill="1" applyBorder="1" applyAlignment="1">
      <alignment horizontal="center"/>
    </xf>
    <xf numFmtId="0" fontId="11" fillId="0" borderId="0" xfId="0" applyFont="1"/>
    <xf numFmtId="0" fontId="11" fillId="0" borderId="0" xfId="0" applyFont="1" applyAlignment="1">
      <alignment horizontal="center"/>
    </xf>
    <xf numFmtId="0" fontId="11" fillId="0" borderId="8" xfId="0" applyFont="1" applyBorder="1" applyAlignment="1">
      <alignment horizontal="center"/>
    </xf>
    <xf numFmtId="0" fontId="12" fillId="0" borderId="13" xfId="0" applyFont="1" applyBorder="1"/>
    <xf numFmtId="0" fontId="13" fillId="0" borderId="13" xfId="0" applyFont="1" applyBorder="1"/>
    <xf numFmtId="0" fontId="13" fillId="0" borderId="14" xfId="0" applyFont="1" applyBorder="1"/>
    <xf numFmtId="0" fontId="6" fillId="0" borderId="15" xfId="0" applyFont="1" applyBorder="1"/>
    <xf numFmtId="165" fontId="14" fillId="0" borderId="0" xfId="0" applyNumberFormat="1" applyFont="1" applyAlignment="1">
      <alignment horizontal="center" vertical="center"/>
    </xf>
    <xf numFmtId="0" fontId="15" fillId="0" borderId="0" xfId="0" applyFont="1" applyAlignment="1">
      <alignment vertical="center"/>
    </xf>
    <xf numFmtId="0" fontId="16" fillId="3" borderId="16" xfId="0" applyFont="1" applyFill="1" applyBorder="1" applyAlignment="1">
      <alignment horizontal="left"/>
    </xf>
    <xf numFmtId="0" fontId="16" fillId="3" borderId="17" xfId="0" applyFont="1" applyFill="1" applyBorder="1" applyAlignment="1">
      <alignment horizontal="left"/>
    </xf>
    <xf numFmtId="0" fontId="16" fillId="3" borderId="18" xfId="0" applyFont="1" applyFill="1" applyBorder="1" applyAlignment="1">
      <alignment horizontal="left"/>
    </xf>
    <xf numFmtId="0" fontId="16" fillId="3" borderId="19" xfId="0" applyFont="1" applyFill="1" applyBorder="1" applyAlignment="1">
      <alignment horizontal="left"/>
    </xf>
    <xf numFmtId="0" fontId="16" fillId="4" borderId="7" xfId="0" applyFont="1" applyFill="1" applyBorder="1"/>
    <xf numFmtId="0" fontId="16" fillId="4" borderId="5" xfId="0" applyFont="1" applyFill="1" applyBorder="1"/>
    <xf numFmtId="9" fontId="6" fillId="0" borderId="0" xfId="0" applyNumberFormat="1" applyFont="1"/>
    <xf numFmtId="165" fontId="14" fillId="0" borderId="0" xfId="0" applyNumberFormat="1" applyFont="1" applyAlignment="1">
      <alignment horizontal="right" vertical="center"/>
    </xf>
    <xf numFmtId="0" fontId="7" fillId="0" borderId="20" xfId="0" applyFont="1" applyBorder="1" applyAlignment="1">
      <alignment horizontal="left" indent="1"/>
    </xf>
    <xf numFmtId="164" fontId="7" fillId="0" borderId="21" xfId="0" applyNumberFormat="1" applyFont="1" applyBorder="1"/>
    <xf numFmtId="164" fontId="7" fillId="0" borderId="6" xfId="0" applyNumberFormat="1" applyFont="1" applyBorder="1"/>
    <xf numFmtId="164" fontId="7" fillId="0" borderId="22" xfId="0" applyNumberFormat="1" applyFont="1" applyBorder="1"/>
    <xf numFmtId="164" fontId="17" fillId="0" borderId="6" xfId="0" applyNumberFormat="1" applyFont="1" applyBorder="1"/>
    <xf numFmtId="167" fontId="7" fillId="0" borderId="23" xfId="0" applyNumberFormat="1" applyFont="1" applyBorder="1"/>
    <xf numFmtId="167" fontId="7" fillId="0" borderId="8" xfId="0" applyNumberFormat="1" applyFont="1" applyBorder="1"/>
    <xf numFmtId="167" fontId="7" fillId="0" borderId="0" xfId="0" applyNumberFormat="1" applyFont="1"/>
    <xf numFmtId="167" fontId="17" fillId="0" borderId="8" xfId="0" applyNumberFormat="1" applyFont="1" applyBorder="1"/>
    <xf numFmtId="167" fontId="7" fillId="0" borderId="24" xfId="0" applyNumberFormat="1" applyFont="1" applyBorder="1"/>
    <xf numFmtId="167" fontId="7" fillId="0" borderId="25" xfId="0" applyNumberFormat="1" applyFont="1" applyBorder="1"/>
    <xf numFmtId="167" fontId="7" fillId="0" borderId="26" xfId="0" applyNumberFormat="1" applyFont="1" applyBorder="1"/>
    <xf numFmtId="167" fontId="17" fillId="0" borderId="25" xfId="0" applyNumberFormat="1" applyFont="1" applyBorder="1"/>
    <xf numFmtId="0" fontId="18" fillId="0" borderId="0" xfId="0" applyFont="1" applyAlignment="1">
      <alignment vertical="center"/>
    </xf>
    <xf numFmtId="0" fontId="16" fillId="3" borderId="27" xfId="0" applyFont="1" applyFill="1" applyBorder="1" applyAlignment="1">
      <alignment horizontal="left"/>
    </xf>
    <xf numFmtId="0" fontId="16" fillId="3" borderId="28" xfId="0" applyFont="1" applyFill="1" applyBorder="1" applyAlignment="1">
      <alignment horizontal="left"/>
    </xf>
    <xf numFmtId="164" fontId="16" fillId="3" borderId="29" xfId="0" applyNumberFormat="1" applyFont="1" applyFill="1" applyBorder="1"/>
    <xf numFmtId="164" fontId="16" fillId="3" borderId="28" xfId="0" applyNumberFormat="1" applyFont="1" applyFill="1" applyBorder="1"/>
    <xf numFmtId="164" fontId="16" fillId="3" borderId="27" xfId="0" applyNumberFormat="1" applyFont="1" applyFill="1" applyBorder="1"/>
    <xf numFmtId="165" fontId="18" fillId="0" borderId="0" xfId="0" applyNumberFormat="1" applyFont="1" applyAlignment="1">
      <alignment vertical="center"/>
    </xf>
    <xf numFmtId="165" fontId="8" fillId="0" borderId="0" xfId="0" applyNumberFormat="1" applyFont="1" applyAlignment="1">
      <alignment vertical="center"/>
    </xf>
    <xf numFmtId="0" fontId="7" fillId="0" borderId="20" xfId="0" applyFont="1" applyBorder="1" applyAlignment="1">
      <alignment horizontal="left" indent="3"/>
    </xf>
    <xf numFmtId="0" fontId="8" fillId="0" borderId="30" xfId="0" applyFont="1" applyBorder="1"/>
    <xf numFmtId="0" fontId="8" fillId="0" borderId="31" xfId="0" applyFont="1" applyBorder="1"/>
    <xf numFmtId="10" fontId="8" fillId="0" borderId="32" xfId="0" applyNumberFormat="1" applyFont="1" applyBorder="1"/>
    <xf numFmtId="10" fontId="8" fillId="0" borderId="31" xfId="0" applyNumberFormat="1" applyFont="1" applyBorder="1"/>
    <xf numFmtId="0" fontId="19" fillId="0" borderId="32" xfId="0" applyFont="1" applyBorder="1"/>
    <xf numFmtId="0" fontId="16" fillId="4" borderId="17" xfId="0" applyFont="1" applyFill="1" applyBorder="1"/>
    <xf numFmtId="168" fontId="20" fillId="5" borderId="22" xfId="0" applyNumberFormat="1" applyFont="1" applyFill="1" applyBorder="1"/>
    <xf numFmtId="0" fontId="20" fillId="5" borderId="6" xfId="0" applyFont="1" applyFill="1" applyBorder="1"/>
    <xf numFmtId="0" fontId="20" fillId="5" borderId="22" xfId="0" applyFont="1" applyFill="1" applyBorder="1"/>
    <xf numFmtId="168" fontId="17" fillId="0" borderId="6" xfId="0" applyNumberFormat="1" applyFont="1" applyBorder="1"/>
    <xf numFmtId="168" fontId="20" fillId="5" borderId="0" xfId="0" applyNumberFormat="1" applyFont="1" applyFill="1"/>
    <xf numFmtId="0" fontId="20" fillId="5" borderId="8" xfId="0" applyFont="1" applyFill="1" applyBorder="1"/>
    <xf numFmtId="0" fontId="20" fillId="5" borderId="0" xfId="0" applyFont="1" applyFill="1"/>
    <xf numFmtId="168" fontId="17" fillId="0" borderId="8" xfId="0" applyNumberFormat="1" applyFont="1" applyBorder="1"/>
    <xf numFmtId="168" fontId="20" fillId="5" borderId="26" xfId="0" applyNumberFormat="1" applyFont="1" applyFill="1" applyBorder="1"/>
    <xf numFmtId="0" fontId="20" fillId="5" borderId="25" xfId="0" applyFont="1" applyFill="1" applyBorder="1"/>
    <xf numFmtId="0" fontId="20" fillId="5" borderId="26" xfId="0" applyFont="1" applyFill="1" applyBorder="1"/>
    <xf numFmtId="0" fontId="8" fillId="0" borderId="0" xfId="0" applyFont="1"/>
    <xf numFmtId="0" fontId="8" fillId="0" borderId="8" xfId="0" applyFont="1" applyBorder="1"/>
    <xf numFmtId="0" fontId="19" fillId="0" borderId="8" xfId="0" applyFont="1" applyBorder="1"/>
    <xf numFmtId="9" fontId="20" fillId="5" borderId="33" xfId="0" applyNumberFormat="1" applyFont="1" applyFill="1" applyBorder="1"/>
    <xf numFmtId="9" fontId="20" fillId="5" borderId="6" xfId="0" applyNumberFormat="1" applyFont="1" applyFill="1" applyBorder="1"/>
    <xf numFmtId="9" fontId="20" fillId="5" borderId="22" xfId="0" applyNumberFormat="1" applyFont="1" applyFill="1" applyBorder="1"/>
    <xf numFmtId="9" fontId="21" fillId="5" borderId="6" xfId="0" applyNumberFormat="1" applyFont="1" applyFill="1" applyBorder="1"/>
    <xf numFmtId="9" fontId="20" fillId="5" borderId="20" xfId="0" applyNumberFormat="1" applyFont="1" applyFill="1" applyBorder="1"/>
    <xf numFmtId="9" fontId="20" fillId="5" borderId="8" xfId="0" applyNumberFormat="1" applyFont="1" applyFill="1" applyBorder="1"/>
    <xf numFmtId="9" fontId="20" fillId="5" borderId="0" xfId="0" applyNumberFormat="1" applyFont="1" applyFill="1"/>
    <xf numFmtId="9" fontId="21" fillId="5" borderId="8" xfId="0" applyNumberFormat="1" applyFont="1" applyFill="1" applyBorder="1"/>
    <xf numFmtId="0" fontId="7" fillId="0" borderId="34" xfId="0" applyFont="1" applyBorder="1" applyAlignment="1">
      <alignment horizontal="left" indent="1"/>
    </xf>
    <xf numFmtId="9" fontId="20" fillId="5" borderId="35" xfId="0" applyNumberFormat="1" applyFont="1" applyFill="1" applyBorder="1"/>
    <xf numFmtId="9" fontId="20" fillId="5" borderId="25" xfId="0" applyNumberFormat="1" applyFont="1" applyFill="1" applyBorder="1"/>
    <xf numFmtId="9" fontId="20" fillId="5" borderId="26" xfId="0" applyNumberFormat="1" applyFont="1" applyFill="1" applyBorder="1"/>
    <xf numFmtId="9" fontId="21" fillId="5" borderId="25" xfId="0" applyNumberFormat="1" applyFont="1" applyFill="1" applyBorder="1"/>
    <xf numFmtId="0" fontId="8" fillId="0" borderId="31" xfId="0" applyFont="1" applyBorder="1" applyAlignment="1">
      <alignment horizontal="left" indent="1"/>
    </xf>
    <xf numFmtId="164" fontId="8" fillId="0" borderId="32" xfId="0" applyNumberFormat="1" applyFont="1" applyBorder="1"/>
    <xf numFmtId="164" fontId="8" fillId="0" borderId="31" xfId="0" applyNumberFormat="1" applyFont="1" applyBorder="1"/>
    <xf numFmtId="0" fontId="16" fillId="4" borderId="2" xfId="0" applyFont="1" applyFill="1" applyBorder="1"/>
    <xf numFmtId="164" fontId="7" fillId="0" borderId="33" xfId="0" applyNumberFormat="1" applyFont="1" applyBorder="1"/>
    <xf numFmtId="0" fontId="22" fillId="6" borderId="0" xfId="0" applyFont="1" applyFill="1"/>
    <xf numFmtId="167" fontId="7" fillId="0" borderId="20" xfId="0" applyNumberFormat="1" applyFont="1" applyBorder="1"/>
    <xf numFmtId="0" fontId="16" fillId="3" borderId="6" xfId="0" applyFont="1" applyFill="1" applyBorder="1" applyAlignment="1">
      <alignment horizontal="left" indent="1"/>
    </xf>
    <xf numFmtId="0" fontId="22" fillId="0" borderId="0" xfId="0" applyFont="1"/>
    <xf numFmtId="165" fontId="6" fillId="7" borderId="0" xfId="0" applyNumberFormat="1" applyFont="1" applyFill="1"/>
    <xf numFmtId="167" fontId="6" fillId="0" borderId="0" xfId="0" applyNumberFormat="1" applyFont="1"/>
    <xf numFmtId="0" fontId="8" fillId="0" borderId="20" xfId="0" applyFont="1" applyBorder="1" applyAlignment="1">
      <alignment horizontal="left" indent="1"/>
    </xf>
    <xf numFmtId="164" fontId="16" fillId="3" borderId="36" xfId="0" applyNumberFormat="1" applyFont="1" applyFill="1" applyBorder="1"/>
    <xf numFmtId="0" fontId="23" fillId="8" borderId="37" xfId="0" applyFont="1" applyFill="1" applyBorder="1" applyAlignment="1">
      <alignment horizontal="center" vertical="center" wrapText="1"/>
    </xf>
    <xf numFmtId="164" fontId="8" fillId="0" borderId="8" xfId="0" applyNumberFormat="1" applyFont="1" applyBorder="1"/>
    <xf numFmtId="164" fontId="8" fillId="0" borderId="0" xfId="0" applyNumberFormat="1" applyFont="1"/>
    <xf numFmtId="0" fontId="23" fillId="8" borderId="0" xfId="0" applyFont="1" applyFill="1" applyAlignment="1">
      <alignment horizontal="center" vertical="center" wrapText="1"/>
    </xf>
    <xf numFmtId="0" fontId="13" fillId="0" borderId="38" xfId="0" applyFont="1" applyBorder="1" applyAlignment="1">
      <alignment horizontal="left" indent="3"/>
    </xf>
    <xf numFmtId="0" fontId="13" fillId="2" borderId="15" xfId="0" applyFont="1" applyFill="1" applyBorder="1"/>
    <xf numFmtId="0" fontId="13" fillId="2" borderId="39" xfId="0" applyFont="1" applyFill="1" applyBorder="1"/>
    <xf numFmtId="0" fontId="12" fillId="2" borderId="39" xfId="0" applyFont="1" applyFill="1" applyBorder="1"/>
    <xf numFmtId="0" fontId="13" fillId="9" borderId="40" xfId="0" applyFont="1" applyFill="1" applyBorder="1" applyAlignment="1">
      <alignment horizontal="center" vertical="center" wrapText="1"/>
    </xf>
    <xf numFmtId="0" fontId="24" fillId="9" borderId="0" xfId="0" applyFont="1" applyFill="1" applyAlignment="1">
      <alignment horizontal="center" vertical="center" wrapText="1"/>
    </xf>
    <xf numFmtId="0" fontId="13" fillId="0" borderId="0" xfId="0" applyFont="1" applyAlignment="1">
      <alignment vertical="center" wrapText="1"/>
    </xf>
    <xf numFmtId="0" fontId="24" fillId="9" borderId="41" xfId="0" applyFont="1" applyFill="1" applyBorder="1" applyAlignment="1">
      <alignment horizontal="center" vertical="center" wrapText="1"/>
    </xf>
    <xf numFmtId="0" fontId="25" fillId="9" borderId="42" xfId="0" applyFont="1" applyFill="1" applyBorder="1" applyAlignment="1">
      <alignment horizontal="center" vertical="center" wrapText="1"/>
    </xf>
    <xf numFmtId="0" fontId="25" fillId="0" borderId="42" xfId="0" applyFont="1" applyBorder="1" applyAlignment="1">
      <alignment horizontal="center" vertical="center" wrapText="1"/>
    </xf>
    <xf numFmtId="0" fontId="25" fillId="0" borderId="42" xfId="0" applyFont="1" applyBorder="1" applyAlignment="1">
      <alignment horizontal="right" vertical="center" wrapText="1"/>
    </xf>
    <xf numFmtId="0" fontId="7" fillId="6" borderId="20" xfId="0" applyFont="1" applyFill="1" applyBorder="1" applyAlignment="1">
      <alignment horizontal="left" indent="1"/>
    </xf>
    <xf numFmtId="167" fontId="7" fillId="6" borderId="8" xfId="0" applyNumberFormat="1" applyFont="1" applyFill="1" applyBorder="1"/>
    <xf numFmtId="167" fontId="7" fillId="6" borderId="0" xfId="0" applyNumberFormat="1" applyFont="1" applyFill="1"/>
    <xf numFmtId="167" fontId="17" fillId="6" borderId="8" xfId="0" applyNumberFormat="1" applyFont="1" applyFill="1" applyBorder="1"/>
    <xf numFmtId="166" fontId="25" fillId="0" borderId="41" xfId="0" applyNumberFormat="1" applyFont="1" applyBorder="1" applyAlignment="1">
      <alignment horizontal="right" vertical="center" wrapText="1"/>
    </xf>
    <xf numFmtId="166" fontId="25" fillId="0" borderId="42" xfId="0" applyNumberFormat="1" applyFont="1" applyBorder="1" applyAlignment="1">
      <alignment horizontal="right" vertical="center" wrapText="1"/>
    </xf>
    <xf numFmtId="0" fontId="25" fillId="0" borderId="41" xfId="0" applyFont="1" applyBorder="1" applyAlignment="1">
      <alignment horizontal="right" vertical="center" wrapText="1"/>
    </xf>
    <xf numFmtId="167" fontId="8" fillId="0" borderId="32" xfId="0" applyNumberFormat="1" applyFont="1" applyBorder="1"/>
    <xf numFmtId="167" fontId="8" fillId="0" borderId="31" xfId="0" applyNumberFormat="1" applyFont="1" applyBorder="1"/>
    <xf numFmtId="3" fontId="25" fillId="0" borderId="41" xfId="0" applyNumberFormat="1" applyFont="1" applyBorder="1" applyAlignment="1">
      <alignment horizontal="right" vertical="center" wrapText="1"/>
    </xf>
    <xf numFmtId="3" fontId="25" fillId="0" borderId="42" xfId="0" applyNumberFormat="1" applyFont="1" applyBorder="1" applyAlignment="1">
      <alignment horizontal="right" vertical="center" wrapText="1"/>
    </xf>
    <xf numFmtId="166" fontId="26" fillId="0" borderId="40" xfId="0" applyNumberFormat="1" applyFont="1" applyBorder="1" applyAlignment="1">
      <alignment horizontal="right" vertical="center" wrapText="1"/>
    </xf>
    <xf numFmtId="0" fontId="24" fillId="9" borderId="43" xfId="0" applyFont="1" applyFill="1" applyBorder="1" applyAlignment="1">
      <alignment horizontal="center" vertical="center" wrapText="1"/>
    </xf>
    <xf numFmtId="0" fontId="24" fillId="9" borderId="37" xfId="0" applyFont="1" applyFill="1" applyBorder="1" applyAlignment="1">
      <alignment horizontal="center" vertical="center" wrapText="1"/>
    </xf>
    <xf numFmtId="0" fontId="7" fillId="0" borderId="44" xfId="0" applyFont="1" applyBorder="1" applyAlignment="1">
      <alignment horizontal="left" indent="1"/>
    </xf>
    <xf numFmtId="167" fontId="7" fillId="0" borderId="34" xfId="0" applyNumberFormat="1" applyFont="1" applyBorder="1"/>
    <xf numFmtId="167" fontId="7" fillId="0" borderId="4" xfId="0" applyNumberFormat="1" applyFont="1" applyBorder="1"/>
    <xf numFmtId="167" fontId="7" fillId="0" borderId="2" xfId="0" applyNumberFormat="1" applyFont="1" applyBorder="1"/>
    <xf numFmtId="167" fontId="17" fillId="0" borderId="4" xfId="0" applyNumberFormat="1" applyFont="1" applyBorder="1"/>
    <xf numFmtId="0" fontId="25" fillId="10" borderId="42" xfId="0" applyFont="1" applyFill="1" applyBorder="1" applyAlignment="1">
      <alignment horizontal="center" vertical="center" wrapText="1"/>
    </xf>
    <xf numFmtId="0" fontId="25" fillId="10" borderId="42" xfId="0" applyFont="1" applyFill="1" applyBorder="1" applyAlignment="1">
      <alignment horizontal="right" vertical="center" wrapText="1"/>
    </xf>
    <xf numFmtId="0" fontId="27" fillId="0" borderId="0" xfId="0" applyFont="1"/>
    <xf numFmtId="0" fontId="0" fillId="6" borderId="0" xfId="0" applyFill="1"/>
    <xf numFmtId="3" fontId="0" fillId="0" borderId="0" xfId="0" applyNumberFormat="1"/>
    <xf numFmtId="3" fontId="26" fillId="0" borderId="41" xfId="0" applyNumberFormat="1" applyFont="1" applyBorder="1" applyAlignment="1">
      <alignment horizontal="right" vertical="center" wrapText="1"/>
    </xf>
    <xf numFmtId="9" fontId="0" fillId="0" borderId="0" xfId="0" applyNumberFormat="1"/>
    <xf numFmtId="0" fontId="28" fillId="11" borderId="0" xfId="0" applyFont="1" applyFill="1" applyAlignment="1">
      <alignment vertical="center"/>
    </xf>
    <xf numFmtId="0" fontId="8" fillId="11" borderId="0" xfId="0" applyFont="1" applyFill="1" applyAlignment="1">
      <alignment vertical="center"/>
    </xf>
    <xf numFmtId="165" fontId="8" fillId="11" borderId="0" xfId="0" applyNumberFormat="1" applyFont="1" applyFill="1" applyAlignment="1">
      <alignment vertical="center"/>
    </xf>
    <xf numFmtId="0" fontId="19" fillId="11" borderId="0" xfId="0" applyFont="1" applyFill="1" applyAlignment="1">
      <alignment vertical="center"/>
    </xf>
    <xf numFmtId="0" fontId="27" fillId="11" borderId="0" xfId="0" applyFont="1" applyFill="1" applyAlignment="1">
      <alignment vertical="center"/>
    </xf>
    <xf numFmtId="0" fontId="27" fillId="11" borderId="22" xfId="0" applyFont="1" applyFill="1" applyBorder="1" applyAlignment="1">
      <alignment vertical="center"/>
    </xf>
    <xf numFmtId="0" fontId="8" fillId="11" borderId="22" xfId="0" applyFont="1" applyFill="1" applyBorder="1" applyAlignment="1">
      <alignment vertical="center"/>
    </xf>
    <xf numFmtId="165" fontId="8" fillId="11" borderId="22" xfId="0" applyNumberFormat="1" applyFont="1" applyFill="1" applyBorder="1" applyAlignment="1">
      <alignment vertical="center"/>
    </xf>
    <xf numFmtId="0" fontId="19" fillId="11" borderId="22" xfId="0" applyFont="1" applyFill="1" applyBorder="1" applyAlignment="1">
      <alignment vertical="center"/>
    </xf>
    <xf numFmtId="0" fontId="15" fillId="0" borderId="22" xfId="0" applyFont="1" applyBorder="1" applyAlignment="1">
      <alignment vertical="center"/>
    </xf>
    <xf numFmtId="0" fontId="27" fillId="11" borderId="0" xfId="0" applyFont="1" applyFill="1" applyAlignment="1">
      <alignment horizontal="left" vertical="center" indent="2"/>
    </xf>
    <xf numFmtId="167" fontId="8" fillId="11" borderId="0" xfId="0" applyNumberFormat="1" applyFont="1" applyFill="1" applyAlignment="1">
      <alignment vertical="center"/>
    </xf>
    <xf numFmtId="0" fontId="27" fillId="11" borderId="0" xfId="0" applyFont="1" applyFill="1" applyAlignment="1">
      <alignment horizontal="left" vertical="center" indent="4"/>
    </xf>
    <xf numFmtId="9" fontId="8" fillId="11" borderId="0" xfId="0" applyNumberFormat="1" applyFont="1" applyFill="1" applyAlignment="1">
      <alignment vertical="center"/>
    </xf>
    <xf numFmtId="0" fontId="19" fillId="11" borderId="0" xfId="0" applyFont="1" applyFill="1" applyAlignment="1">
      <alignment horizontal="center" vertical="center"/>
    </xf>
    <xf numFmtId="3" fontId="8" fillId="11" borderId="0" xfId="0" applyNumberFormat="1" applyFont="1" applyFill="1" applyAlignment="1">
      <alignment vertical="center"/>
    </xf>
    <xf numFmtId="165" fontId="15" fillId="0" borderId="0" xfId="0" applyNumberFormat="1" applyFont="1" applyAlignment="1">
      <alignment vertical="center"/>
    </xf>
    <xf numFmtId="0" fontId="27" fillId="11" borderId="2" xfId="0" applyFont="1" applyFill="1" applyBorder="1" applyAlignment="1">
      <alignment horizontal="left" vertical="center" indent="4"/>
    </xf>
    <xf numFmtId="0" fontId="8" fillId="11" borderId="2" xfId="0" applyFont="1" applyFill="1" applyBorder="1" applyAlignment="1">
      <alignment vertical="center"/>
    </xf>
    <xf numFmtId="9" fontId="8" fillId="11" borderId="2" xfId="0" applyNumberFormat="1" applyFont="1" applyFill="1" applyBorder="1" applyAlignment="1">
      <alignment vertical="center"/>
    </xf>
    <xf numFmtId="165" fontId="8" fillId="11" borderId="2" xfId="0" applyNumberFormat="1" applyFont="1" applyFill="1" applyBorder="1" applyAlignment="1">
      <alignment vertical="center"/>
    </xf>
    <xf numFmtId="9" fontId="19" fillId="11" borderId="2" xfId="0" applyNumberFormat="1" applyFont="1" applyFill="1" applyBorder="1" applyAlignment="1">
      <alignment vertical="center"/>
    </xf>
    <xf numFmtId="0" fontId="15" fillId="0" borderId="2" xfId="0" applyFont="1" applyBorder="1" applyAlignment="1">
      <alignment vertical="center"/>
    </xf>
    <xf numFmtId="165" fontId="19" fillId="11" borderId="0" xfId="0" applyNumberFormat="1" applyFont="1" applyFill="1" applyAlignment="1">
      <alignment vertical="center"/>
    </xf>
    <xf numFmtId="1" fontId="8" fillId="11" borderId="0" xfId="0" applyNumberFormat="1" applyFont="1" applyFill="1" applyAlignment="1">
      <alignment vertical="center"/>
    </xf>
    <xf numFmtId="0" fontId="27" fillId="0" borderId="0" xfId="0" applyFont="1" applyAlignment="1">
      <alignment vertical="center"/>
    </xf>
    <xf numFmtId="0" fontId="8" fillId="0" borderId="0" xfId="0" applyFont="1" applyAlignment="1">
      <alignment vertical="center"/>
    </xf>
    <xf numFmtId="0" fontId="19" fillId="0" borderId="0" xfId="0" applyFont="1" applyAlignment="1">
      <alignment vertical="center"/>
    </xf>
    <xf numFmtId="167" fontId="19" fillId="11" borderId="0" xfId="0" applyNumberFormat="1" applyFont="1" applyFill="1" applyAlignment="1">
      <alignment vertical="center"/>
    </xf>
    <xf numFmtId="165" fontId="19" fillId="6" borderId="0" xfId="0" applyNumberFormat="1" applyFont="1" applyFill="1" applyAlignment="1">
      <alignment vertical="center"/>
    </xf>
    <xf numFmtId="9" fontId="8" fillId="6" borderId="0" xfId="0" applyNumberFormat="1" applyFont="1" applyFill="1" applyAlignment="1">
      <alignment vertical="center"/>
    </xf>
    <xf numFmtId="9" fontId="19" fillId="11" borderId="0" xfId="0" applyNumberFormat="1" applyFont="1" applyFill="1" applyAlignment="1">
      <alignment vertical="center"/>
    </xf>
    <xf numFmtId="9" fontId="19" fillId="6" borderId="2" xfId="0" applyNumberFormat="1" applyFont="1" applyFill="1" applyBorder="1" applyAlignment="1">
      <alignment vertical="center"/>
    </xf>
    <xf numFmtId="0" fontId="19" fillId="11" borderId="2" xfId="0" applyFont="1" applyFill="1" applyBorder="1" applyAlignment="1">
      <alignment vertical="center"/>
    </xf>
    <xf numFmtId="169" fontId="8" fillId="11" borderId="0" xfId="0" applyNumberFormat="1" applyFont="1" applyFill="1" applyAlignment="1">
      <alignment vertical="center"/>
    </xf>
    <xf numFmtId="10" fontId="8" fillId="0" borderId="0" xfId="0" applyNumberFormat="1" applyFont="1"/>
    <xf numFmtId="0" fontId="25" fillId="0" borderId="42" xfId="0" applyFont="1" applyBorder="1" applyAlignment="1">
      <alignment vertical="center" wrapText="1"/>
    </xf>
    <xf numFmtId="0" fontId="23" fillId="8" borderId="42" xfId="0" applyFont="1" applyFill="1" applyBorder="1" applyAlignment="1">
      <alignment horizontal="center" vertical="center" wrapText="1"/>
    </xf>
    <xf numFmtId="0" fontId="23" fillId="8" borderId="45" xfId="0" applyFont="1" applyFill="1" applyBorder="1" applyAlignment="1">
      <alignment horizontal="center" vertical="center" wrapText="1"/>
    </xf>
    <xf numFmtId="0" fontId="24" fillId="9" borderId="46" xfId="0" applyFont="1" applyFill="1" applyBorder="1" applyAlignment="1">
      <alignment vertical="center" wrapText="1"/>
    </xf>
    <xf numFmtId="4" fontId="8" fillId="0" borderId="0" xfId="0" applyNumberFormat="1" applyFont="1"/>
    <xf numFmtId="0" fontId="25" fillId="0" borderId="46" xfId="0" applyFont="1" applyBorder="1" applyAlignment="1">
      <alignment vertical="center" wrapText="1"/>
    </xf>
    <xf numFmtId="166" fontId="25" fillId="6" borderId="46" xfId="0" applyNumberFormat="1" applyFont="1" applyFill="1" applyBorder="1" applyAlignment="1">
      <alignment horizontal="right" vertical="center" wrapText="1"/>
    </xf>
    <xf numFmtId="3" fontId="25" fillId="6" borderId="46" xfId="0" applyNumberFormat="1" applyFont="1" applyFill="1" applyBorder="1" applyAlignment="1">
      <alignment horizontal="right" vertical="center" wrapText="1"/>
    </xf>
    <xf numFmtId="0" fontId="0" fillId="0" borderId="0" xfId="0" applyAlignment="1">
      <alignment readingOrder="1"/>
    </xf>
    <xf numFmtId="0" fontId="25" fillId="0" borderId="47" xfId="0" applyFont="1" applyBorder="1" applyAlignment="1">
      <alignment vertical="center" wrapText="1"/>
    </xf>
    <xf numFmtId="3" fontId="25" fillId="6" borderId="47" xfId="0" applyNumberFormat="1" applyFont="1" applyFill="1" applyBorder="1" applyAlignment="1">
      <alignment horizontal="right" vertical="center" wrapText="1"/>
    </xf>
    <xf numFmtId="0" fontId="29" fillId="0" borderId="46" xfId="0" applyFont="1" applyBorder="1" applyAlignment="1">
      <alignment vertical="center" wrapText="1"/>
    </xf>
    <xf numFmtId="166" fontId="26" fillId="6" borderId="46" xfId="0" applyNumberFormat="1" applyFont="1" applyFill="1" applyBorder="1" applyAlignment="1">
      <alignment horizontal="right" vertical="center" wrapText="1"/>
    </xf>
    <xf numFmtId="0" fontId="25" fillId="6" borderId="42" xfId="0" applyFont="1" applyFill="1" applyBorder="1" applyAlignment="1">
      <alignment horizontal="center" vertical="center" wrapText="1"/>
    </xf>
    <xf numFmtId="3" fontId="30" fillId="0" borderId="0" xfId="0" applyNumberFormat="1" applyFont="1"/>
    <xf numFmtId="3" fontId="8" fillId="0" borderId="0" xfId="0" applyNumberFormat="1" applyFont="1"/>
    <xf numFmtId="0" fontId="31" fillId="0" borderId="0" xfId="0" applyFont="1"/>
    <xf numFmtId="0" fontId="8" fillId="0" borderId="48" xfId="0" applyFont="1" applyBorder="1"/>
    <xf numFmtId="0" fontId="29" fillId="0" borderId="0" xfId="0" applyFont="1" applyAlignment="1">
      <alignment horizontal="justify" vertical="center"/>
    </xf>
    <xf numFmtId="0" fontId="8" fillId="0" borderId="49" xfId="0" applyFont="1" applyBorder="1"/>
    <xf numFmtId="0" fontId="8" fillId="12" borderId="49" xfId="0" applyFont="1" applyFill="1" applyBorder="1"/>
    <xf numFmtId="0" fontId="8" fillId="12" borderId="0" xfId="0" applyFont="1" applyFill="1"/>
    <xf numFmtId="169" fontId="8" fillId="0" borderId="49" xfId="0" applyNumberFormat="1" applyFont="1" applyBorder="1"/>
    <xf numFmtId="169" fontId="8" fillId="0" borderId="0" xfId="0" applyNumberFormat="1" applyFont="1"/>
    <xf numFmtId="4" fontId="6" fillId="0" borderId="0" xfId="0" applyNumberFormat="1" applyFont="1"/>
    <xf numFmtId="165" fontId="8" fillId="0" borderId="49" xfId="0" applyNumberFormat="1" applyFont="1" applyBorder="1"/>
    <xf numFmtId="165" fontId="8" fillId="0" borderId="0" xfId="0" applyNumberFormat="1" applyFont="1"/>
    <xf numFmtId="165" fontId="32" fillId="0" borderId="49" xfId="0" applyNumberFormat="1" applyFont="1" applyBorder="1"/>
    <xf numFmtId="165" fontId="32" fillId="0" borderId="0" xfId="0" applyNumberFormat="1" applyFont="1"/>
    <xf numFmtId="0" fontId="33" fillId="0" borderId="0" xfId="0" applyFont="1"/>
    <xf numFmtId="169" fontId="19" fillId="0" borderId="49" xfId="0" applyNumberFormat="1" applyFont="1" applyBorder="1"/>
    <xf numFmtId="169" fontId="19" fillId="0" borderId="0" xfId="0" applyNumberFormat="1" applyFont="1"/>
    <xf numFmtId="3" fontId="6" fillId="0" borderId="0" xfId="0" applyNumberFormat="1" applyFont="1"/>
    <xf numFmtId="169" fontId="19" fillId="13" borderId="49" xfId="0" applyNumberFormat="1" applyFont="1" applyFill="1" applyBorder="1"/>
    <xf numFmtId="169" fontId="19" fillId="13" borderId="0" xfId="0" applyNumberFormat="1" applyFont="1" applyFill="1"/>
    <xf numFmtId="170" fontId="33" fillId="0" borderId="0" xfId="0" applyNumberFormat="1" applyFont="1"/>
    <xf numFmtId="169" fontId="19" fillId="0" borderId="50" xfId="0" applyNumberFormat="1" applyFont="1" applyBorder="1"/>
    <xf numFmtId="0" fontId="34" fillId="4" borderId="7" xfId="0" applyFont="1" applyFill="1" applyBorder="1" applyAlignment="1">
      <alignment horizontal="center" vertical="center" wrapText="1"/>
    </xf>
    <xf numFmtId="0" fontId="35" fillId="4" borderId="7" xfId="0" applyFont="1" applyFill="1" applyBorder="1"/>
    <xf numFmtId="0" fontId="36" fillId="3" borderId="7" xfId="0" applyFont="1" applyFill="1" applyBorder="1" applyAlignment="1">
      <alignment vertical="center" wrapText="1"/>
    </xf>
    <xf numFmtId="0" fontId="37" fillId="3" borderId="7" xfId="0" applyFont="1" applyFill="1" applyBorder="1"/>
    <xf numFmtId="0" fontId="36" fillId="3" borderId="7" xfId="0" applyFont="1" applyFill="1" applyBorder="1" applyAlignment="1">
      <alignment horizontal="center" vertical="center" wrapText="1"/>
    </xf>
    <xf numFmtId="0" fontId="38" fillId="0" borderId="7" xfId="0" applyFont="1" applyBorder="1" applyAlignment="1">
      <alignment vertical="center" wrapText="1"/>
    </xf>
    <xf numFmtId="0" fontId="38" fillId="0" borderId="7" xfId="0" applyFont="1" applyBorder="1"/>
    <xf numFmtId="165" fontId="38" fillId="0" borderId="7" xfId="0" applyNumberFormat="1" applyFont="1" applyBorder="1" applyAlignment="1">
      <alignment horizontal="right" vertical="center" wrapText="1"/>
    </xf>
    <xf numFmtId="9" fontId="38" fillId="0" borderId="7" xfId="0" applyNumberFormat="1" applyFont="1" applyBorder="1" applyAlignment="1">
      <alignment horizontal="right" vertical="center" wrapText="1"/>
    </xf>
    <xf numFmtId="171" fontId="38" fillId="0" borderId="7" xfId="0" applyNumberFormat="1" applyFont="1" applyBorder="1" applyAlignment="1">
      <alignment horizontal="right" vertical="center" wrapText="1"/>
    </xf>
    <xf numFmtId="0" fontId="36" fillId="3" borderId="7" xfId="0" applyFont="1" applyFill="1" applyBorder="1"/>
    <xf numFmtId="0" fontId="36" fillId="3" borderId="7" xfId="0" applyFont="1" applyFill="1" applyBorder="1" applyAlignment="1">
      <alignment horizontal="right" vertical="center" wrapText="1"/>
    </xf>
    <xf numFmtId="0" fontId="39" fillId="0" borderId="0" xfId="0" applyFont="1"/>
    <xf numFmtId="0" fontId="37" fillId="4" borderId="7" xfId="0" applyFont="1" applyFill="1" applyBorder="1" applyAlignment="1">
      <alignment horizontal="center" vertical="center" wrapText="1"/>
    </xf>
    <xf numFmtId="0" fontId="37" fillId="4" borderId="7" xfId="0" applyFont="1" applyFill="1" applyBorder="1"/>
    <xf numFmtId="0" fontId="37" fillId="4" borderId="6" xfId="0" applyFont="1" applyFill="1" applyBorder="1" applyAlignment="1">
      <alignment horizontal="center" vertical="center" wrapText="1"/>
    </xf>
    <xf numFmtId="0" fontId="37" fillId="4" borderId="8" xfId="0" applyFont="1" applyFill="1" applyBorder="1" applyAlignment="1">
      <alignment horizontal="center" vertical="center" wrapText="1"/>
    </xf>
    <xf numFmtId="0" fontId="37" fillId="4" borderId="4" xfId="0" applyFont="1" applyFill="1" applyBorder="1" applyAlignment="1">
      <alignment horizontal="center" vertical="center" wrapText="1"/>
    </xf>
    <xf numFmtId="0" fontId="36" fillId="3" borderId="51" xfId="0" applyFont="1" applyFill="1" applyBorder="1" applyAlignment="1">
      <alignment horizontal="center" vertical="center" wrapText="1"/>
    </xf>
    <xf numFmtId="171" fontId="38" fillId="0" borderId="52" xfId="0" applyNumberFormat="1" applyFont="1" applyBorder="1" applyAlignment="1">
      <alignment horizontal="right" vertical="center" wrapText="1"/>
    </xf>
    <xf numFmtId="0" fontId="40" fillId="3" borderId="7" xfId="0" applyFont="1" applyFill="1" applyBorder="1" applyAlignment="1">
      <alignment vertical="center" wrapText="1"/>
    </xf>
    <xf numFmtId="0" fontId="40" fillId="3" borderId="51" xfId="0" applyFont="1" applyFill="1" applyBorder="1" applyAlignment="1">
      <alignment vertical="center" wrapText="1"/>
    </xf>
    <xf numFmtId="165" fontId="38" fillId="0" borderId="7" xfId="0" applyNumberFormat="1" applyFont="1" applyBorder="1" applyAlignment="1">
      <alignment horizontal="right" wrapText="1"/>
    </xf>
    <xf numFmtId="0" fontId="40" fillId="3" borderId="7" xfId="0" applyFont="1" applyFill="1" applyBorder="1" applyAlignment="1">
      <alignment horizontal="center" vertical="center" wrapText="1"/>
    </xf>
    <xf numFmtId="0" fontId="41" fillId="0" borderId="7" xfId="0" applyFont="1" applyBorder="1" applyAlignment="1">
      <alignment vertical="center" wrapText="1"/>
    </xf>
    <xf numFmtId="169" fontId="41" fillId="0" borderId="7" xfId="0" applyNumberFormat="1" applyFont="1" applyBorder="1" applyAlignment="1">
      <alignment horizontal="right" vertical="center" wrapText="1"/>
    </xf>
    <xf numFmtId="164" fontId="41" fillId="0" borderId="7" xfId="0" applyNumberFormat="1" applyFont="1" applyBorder="1" applyAlignment="1">
      <alignment horizontal="right" vertical="center" wrapText="1"/>
    </xf>
    <xf numFmtId="0" fontId="42" fillId="0" borderId="7" xfId="0" applyFont="1" applyBorder="1" applyAlignment="1">
      <alignment vertical="center" wrapText="1"/>
    </xf>
    <xf numFmtId="166" fontId="42" fillId="0" borderId="7" xfId="0" applyNumberFormat="1" applyFont="1" applyBorder="1" applyAlignment="1">
      <alignment horizontal="right" vertical="center" wrapText="1"/>
    </xf>
    <xf numFmtId="165" fontId="41" fillId="0" borderId="7" xfId="0" applyNumberFormat="1" applyFont="1" applyBorder="1" applyAlignment="1">
      <alignment horizontal="right" vertical="center" wrapText="1"/>
    </xf>
    <xf numFmtId="164" fontId="42" fillId="0" borderId="7" xfId="0" applyNumberFormat="1" applyFont="1" applyBorder="1" applyAlignment="1">
      <alignment horizontal="right" vertical="center" wrapText="1"/>
    </xf>
    <xf numFmtId="0" fontId="43" fillId="5" borderId="0" xfId="0" applyFont="1" applyFill="1" applyAlignment="1">
      <alignment horizontal="left"/>
    </xf>
    <xf numFmtId="0" fontId="43" fillId="5" borderId="0" xfId="0" applyFont="1" applyFill="1" applyAlignment="1">
      <alignment horizontal="center"/>
    </xf>
    <xf numFmtId="0" fontId="44" fillId="5" borderId="0" xfId="0" applyFont="1" applyFill="1"/>
    <xf numFmtId="0" fontId="5" fillId="5" borderId="0" xfId="0" applyFont="1" applyFill="1" applyAlignment="1">
      <alignment horizontal="center"/>
    </xf>
    <xf numFmtId="0" fontId="6" fillId="5" borderId="0" xfId="0" applyFont="1" applyFill="1"/>
    <xf numFmtId="165" fontId="6" fillId="5" borderId="0" xfId="0" applyNumberFormat="1" applyFont="1" applyFill="1"/>
    <xf numFmtId="0" fontId="11" fillId="5" borderId="0" xfId="0" applyFont="1" applyFill="1"/>
    <xf numFmtId="0" fontId="16" fillId="4" borderId="3" xfId="0" applyFont="1" applyFill="1" applyBorder="1"/>
    <xf numFmtId="0" fontId="16" fillId="4" borderId="53" xfId="0" applyFont="1" applyFill="1" applyBorder="1" applyAlignment="1">
      <alignment horizontal="center"/>
    </xf>
    <xf numFmtId="0" fontId="45" fillId="0" borderId="6" xfId="0" applyFont="1" applyBorder="1"/>
    <xf numFmtId="0" fontId="45" fillId="0" borderId="8" xfId="0" applyFont="1" applyBorder="1"/>
    <xf numFmtId="0" fontId="16" fillId="3" borderId="21" xfId="0" applyFont="1" applyFill="1" applyBorder="1" applyAlignment="1">
      <alignment horizontal="left" indent="1"/>
    </xf>
    <xf numFmtId="0" fontId="16" fillId="3" borderId="29" xfId="0" applyFont="1" applyFill="1" applyBorder="1"/>
    <xf numFmtId="172" fontId="6" fillId="0" borderId="0" xfId="0" applyNumberFormat="1" applyFont="1"/>
    <xf numFmtId="0" fontId="16" fillId="4" borderId="6" xfId="0" applyFont="1" applyFill="1" applyBorder="1"/>
    <xf numFmtId="165" fontId="7" fillId="0" borderId="8" xfId="0" applyNumberFormat="1" applyFont="1" applyBorder="1"/>
    <xf numFmtId="165" fontId="7" fillId="0" borderId="4" xfId="0" applyNumberFormat="1" applyFont="1" applyBorder="1"/>
    <xf numFmtId="164" fontId="16" fillId="3" borderId="8" xfId="0" applyNumberFormat="1" applyFont="1" applyFill="1" applyBorder="1"/>
    <xf numFmtId="0" fontId="8" fillId="5" borderId="54" xfId="0" applyFont="1" applyFill="1" applyBorder="1" applyAlignment="1">
      <alignment horizontal="left" indent="1"/>
    </xf>
    <xf numFmtId="0" fontId="8" fillId="0" borderId="55" xfId="0" applyFont="1" applyBorder="1"/>
    <xf numFmtId="0" fontId="8" fillId="5" borderId="31" xfId="0" applyFont="1" applyFill="1" applyBorder="1"/>
    <xf numFmtId="167" fontId="7" fillId="0" borderId="56" xfId="0" applyNumberFormat="1" applyFont="1" applyBorder="1"/>
    <xf numFmtId="0" fontId="8" fillId="5" borderId="0" xfId="0" applyFont="1" applyFill="1"/>
    <xf numFmtId="0" fontId="0" fillId="0" borderId="57" xfId="0" applyBorder="1"/>
    <xf numFmtId="0" fontId="0" fillId="0" borderId="1" xfId="0" applyBorder="1"/>
    <xf numFmtId="9" fontId="0" fillId="0" borderId="57" xfId="0" applyNumberFormat="1" applyBorder="1"/>
    <xf numFmtId="17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3"/>
  <sheetViews>
    <sheetView workbookViewId="0" showGridLines="0" zoomScale="85" zoomScaleNormal="85">
      <selection activeCell="C49" sqref="C49"/>
    </sheetView>
  </sheetViews>
  <sheetFormatPr defaultRowHeight="14.5" outlineLevelRow="1" outlineLevelCol="1" x14ac:dyDescent="0.35" customHeight="1"/>
  <cols>
    <col min="1" max="1" width="46.1796875" customWidth="1"/>
    <col min="2" max="2" width="22.1796875" hidden="1" outlineLevel="1" collapsed="1" customWidth="1"/>
    <col min="3" max="23" width="12.453125" customWidth="1"/>
    <col min="24" max="24" width="24.453125" customWidth="1"/>
    <col min="25" max="25" width="10.81640625" customWidth="1"/>
    <col min="26" max="26" width="9.81640625" customWidth="1"/>
    <col min="39" max="41" width="26.453125" customWidth="1"/>
  </cols>
  <sheetData>
    <row r="1" ht="35.5" customHeight="1" spans="1:35" x14ac:dyDescent="0.25">
      <c r="A1" s="1" t="s">
        <v>0</v>
      </c>
      <c r="B1" s="2"/>
      <c r="C1" s="2"/>
      <c r="D1" s="2"/>
      <c r="E1" s="2"/>
      <c r="F1" s="2"/>
      <c r="G1" s="2"/>
      <c r="H1" s="2"/>
      <c r="I1" s="2"/>
      <c r="J1" s="2"/>
      <c r="K1" s="2"/>
      <c r="L1" s="2"/>
      <c r="M1" s="2"/>
      <c r="N1" s="2"/>
      <c r="O1" s="2"/>
      <c r="P1" s="2"/>
      <c r="Q1" s="2"/>
      <c r="R1" s="2"/>
      <c r="S1" s="3"/>
      <c r="T1" s="3"/>
      <c r="U1" s="3"/>
      <c r="V1" s="3"/>
      <c r="W1" s="3"/>
      <c r="X1" s="3"/>
      <c r="Y1" s="3"/>
      <c r="Z1" s="3"/>
      <c r="AA1" s="3"/>
      <c r="AB1" s="3"/>
      <c r="AC1" s="3"/>
      <c r="AD1" s="3"/>
      <c r="AE1" s="3"/>
      <c r="AF1" s="3"/>
      <c r="AG1" s="3"/>
      <c r="AH1" s="3"/>
      <c r="AI1" s="4"/>
    </row>
    <row r="2" ht="18" customHeight="1" spans="1:2" x14ac:dyDescent="0.25">
      <c r="A2" s="5" t="s">
        <v>1</v>
      </c>
      <c r="B2" s="5"/>
    </row>
    <row r="3" spans="1:2" x14ac:dyDescent="0.25">
      <c r="A3" s="6" t="e">
        <v>#VALUE!</v>
      </c>
      <c r="B3" s="6"/>
    </row>
    <row r="4" spans="1:4" x14ac:dyDescent="0.25">
      <c r="A4" s="6"/>
      <c r="B4" s="6"/>
      <c r="D4" s="7"/>
    </row>
    <row r="5" spans="1:4" x14ac:dyDescent="0.25">
      <c r="A5" s="6"/>
      <c r="B5" s="6"/>
      <c r="D5" s="7"/>
    </row>
    <row r="6" ht="24" customHeight="1" spans="1:35" x14ac:dyDescent="0.25">
      <c r="A6" s="8"/>
      <c r="B6" s="9"/>
      <c r="C6" s="10" t="s">
        <v>2</v>
      </c>
      <c r="D6" s="11" t="s">
        <v>3</v>
      </c>
      <c r="E6" s="11"/>
      <c r="S6" s="8"/>
      <c r="T6" s="9"/>
      <c r="U6" s="9"/>
      <c r="V6" s="9"/>
      <c r="W6" s="9"/>
      <c r="X6" s="9"/>
      <c r="Y6" s="12"/>
      <c r="Z6" s="13"/>
      <c r="AA6" s="14"/>
      <c r="AB6" s="15"/>
      <c r="AC6" s="15"/>
      <c r="AD6" s="15"/>
      <c r="AE6" s="15"/>
      <c r="AF6" s="15"/>
      <c r="AG6" s="15"/>
      <c r="AH6" s="16"/>
      <c r="AI6" s="14"/>
    </row>
    <row r="7" spans="1:24" x14ac:dyDescent="0.25">
      <c r="A7" s="17"/>
      <c r="B7" s="18"/>
      <c r="C7" s="19" t="s">
        <v>4</v>
      </c>
      <c r="D7" s="20" t="s">
        <v>5</v>
      </c>
      <c r="E7" s="20" t="s">
        <v>6</v>
      </c>
      <c r="F7" s="20" t="s">
        <v>7</v>
      </c>
      <c r="G7" s="20" t="s">
        <v>8</v>
      </c>
      <c r="H7" s="20" t="s">
        <v>9</v>
      </c>
      <c r="I7" s="20" t="s">
        <v>10</v>
      </c>
      <c r="J7" s="20" t="s">
        <v>11</v>
      </c>
      <c r="K7" s="20" t="s">
        <v>12</v>
      </c>
      <c r="L7" s="20" t="s">
        <v>13</v>
      </c>
      <c r="M7" s="20" t="s">
        <v>14</v>
      </c>
      <c r="N7" s="20" t="s">
        <v>15</v>
      </c>
      <c r="O7" s="20" t="s">
        <v>16</v>
      </c>
      <c r="P7" s="20" t="s">
        <v>17</v>
      </c>
      <c r="Q7" s="20" t="s">
        <v>18</v>
      </c>
      <c r="R7" s="20" t="s">
        <v>19</v>
      </c>
      <c r="S7" s="20" t="s">
        <v>20</v>
      </c>
      <c r="T7" s="20" t="s">
        <v>21</v>
      </c>
      <c r="U7" s="20" t="s">
        <v>22</v>
      </c>
      <c r="V7" s="20" t="s">
        <v>23</v>
      </c>
      <c r="W7" s="21"/>
      <c r="X7" s="22" t="s">
        <v>24</v>
      </c>
    </row>
    <row r="8" spans="1:48" x14ac:dyDescent="0.25">
      <c r="A8" s="23" t="s">
        <v>25</v>
      </c>
      <c r="B8" s="18">
        <v>2023</v>
      </c>
      <c r="C8" s="24">
        <v>2024</v>
      </c>
      <c r="D8" s="20">
        <v>2025</v>
      </c>
      <c r="E8" s="20">
        <v>2026</v>
      </c>
      <c r="F8" s="20">
        <v>2027</v>
      </c>
      <c r="G8" s="20">
        <v>2028</v>
      </c>
      <c r="H8" s="20">
        <v>2029</v>
      </c>
      <c r="I8" s="20">
        <v>2030</v>
      </c>
      <c r="J8" s="20">
        <v>2031</v>
      </c>
      <c r="K8" s="20">
        <v>2032</v>
      </c>
      <c r="L8" s="20">
        <v>2033</v>
      </c>
      <c r="M8" s="20">
        <v>2034</v>
      </c>
      <c r="N8" s="20">
        <v>2035</v>
      </c>
      <c r="O8" s="20">
        <v>2036</v>
      </c>
      <c r="P8" s="20">
        <v>2037</v>
      </c>
      <c r="Q8" s="20">
        <v>2038</v>
      </c>
      <c r="R8" s="20">
        <v>2039</v>
      </c>
      <c r="S8" s="20">
        <v>2040</v>
      </c>
      <c r="T8" s="20">
        <v>2041</v>
      </c>
      <c r="U8" s="20">
        <v>2042</v>
      </c>
      <c r="V8" s="20">
        <v>2044</v>
      </c>
      <c r="W8" s="25"/>
      <c r="X8" s="9"/>
      <c r="Y8" s="9"/>
      <c r="Z8" s="9"/>
      <c r="AA8" s="9"/>
      <c r="AB8" s="9"/>
      <c r="AC8" s="9"/>
      <c r="AD8" s="9"/>
      <c r="AE8" s="9"/>
      <c r="AF8" s="9"/>
      <c r="AG8" s="9"/>
      <c r="AH8" s="9"/>
      <c r="AI8" s="9"/>
      <c r="AJ8" s="9"/>
      <c r="AK8" s="9"/>
      <c r="AL8" s="9"/>
      <c r="AM8" s="9"/>
      <c r="AN8" s="9"/>
      <c r="AO8" s="9"/>
      <c r="AP8" s="9"/>
      <c r="AQ8" s="9"/>
      <c r="AR8" s="9"/>
      <c r="AS8" s="9"/>
      <c r="AT8" s="9"/>
      <c r="AU8" s="9"/>
      <c r="AV8" s="9"/>
    </row>
    <row r="9" ht="15" customHeight="1" spans="1:48" x14ac:dyDescent="0.25">
      <c r="A9" s="23" t="s">
        <v>26</v>
      </c>
      <c r="B9" s="26">
        <v>2024</v>
      </c>
      <c r="C9" s="27">
        <v>2025</v>
      </c>
      <c r="D9" s="28">
        <v>2026</v>
      </c>
      <c r="E9" s="28">
        <v>2027</v>
      </c>
      <c r="F9" s="28">
        <v>2028</v>
      </c>
      <c r="G9" s="28">
        <v>2029</v>
      </c>
      <c r="H9" s="28">
        <v>2030</v>
      </c>
      <c r="I9" s="28">
        <v>2031</v>
      </c>
      <c r="J9" s="28">
        <v>2032</v>
      </c>
      <c r="K9" s="28">
        <v>2033</v>
      </c>
      <c r="L9" s="28">
        <v>2034</v>
      </c>
      <c r="M9" s="28">
        <v>2035</v>
      </c>
      <c r="N9" s="28">
        <v>2036</v>
      </c>
      <c r="O9" s="28">
        <v>2037</v>
      </c>
      <c r="P9" s="28">
        <v>2038</v>
      </c>
      <c r="Q9" s="28">
        <v>2039</v>
      </c>
      <c r="R9" s="28">
        <v>2040</v>
      </c>
      <c r="S9" s="28">
        <v>2041</v>
      </c>
      <c r="T9" s="28">
        <v>2042</v>
      </c>
      <c r="U9" s="28">
        <v>2043</v>
      </c>
      <c r="V9" s="28">
        <v>2045</v>
      </c>
      <c r="W9" s="29" t="s">
        <v>27</v>
      </c>
      <c r="X9" s="9"/>
      <c r="Y9" s="9"/>
      <c r="Z9" s="9"/>
      <c r="AA9" s="9"/>
      <c r="AB9" s="9"/>
      <c r="AC9" s="9"/>
      <c r="AD9" s="9"/>
      <c r="AE9" s="9"/>
      <c r="AF9" s="9"/>
      <c r="AG9" s="9"/>
      <c r="AH9" s="9"/>
      <c r="AI9" s="9"/>
      <c r="AJ9" s="9"/>
      <c r="AK9" s="9"/>
      <c r="AL9" s="9"/>
      <c r="AM9" s="9"/>
      <c r="AN9" s="9"/>
      <c r="AO9" s="9"/>
      <c r="AP9" s="9"/>
      <c r="AQ9" s="9"/>
      <c r="AR9" s="9"/>
      <c r="AS9" s="9"/>
      <c r="AT9" s="9"/>
      <c r="AU9" s="9"/>
      <c r="AV9" s="9"/>
    </row>
    <row r="10" ht="18.5" customHeight="1" hidden="1" spans="1:48" x14ac:dyDescent="0.25">
      <c r="A10" s="30"/>
      <c r="B10" s="31"/>
      <c r="C10" s="32"/>
      <c r="D10" s="31"/>
      <c r="E10" s="31"/>
      <c r="F10" s="31"/>
      <c r="G10" s="31"/>
      <c r="H10" s="31"/>
      <c r="I10" s="31"/>
      <c r="J10" s="31"/>
      <c r="K10" s="31"/>
      <c r="L10" s="31"/>
      <c r="M10" s="31"/>
      <c r="N10" s="31"/>
      <c r="O10" s="31"/>
      <c r="P10" s="31"/>
      <c r="Q10" s="31"/>
      <c r="R10" s="31"/>
      <c r="S10" s="31"/>
      <c r="T10" s="31"/>
      <c r="U10" s="31"/>
      <c r="V10" s="31"/>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row>
    <row r="11" ht="17" customHeight="1" hidden="1" spans="1:48" x14ac:dyDescent="0.25">
      <c r="A11" s="33" t="s">
        <v>28</v>
      </c>
      <c r="B11" s="34"/>
      <c r="C11" s="35"/>
      <c r="D11" s="34"/>
      <c r="E11" s="34"/>
      <c r="F11" s="34"/>
      <c r="G11" s="34"/>
      <c r="H11" s="34"/>
      <c r="I11" s="34"/>
      <c r="J11" s="34"/>
      <c r="K11" s="34"/>
      <c r="L11" s="34"/>
      <c r="M11" s="34"/>
      <c r="N11" s="34"/>
      <c r="O11" s="34"/>
      <c r="P11" s="34"/>
      <c r="Q11" s="34"/>
      <c r="R11" s="34"/>
      <c r="S11" s="34"/>
      <c r="T11" s="34"/>
      <c r="U11" s="34"/>
      <c r="V11" s="34"/>
      <c r="W11" s="36"/>
      <c r="X11" s="9"/>
      <c r="Y11" s="9"/>
      <c r="Z11" s="9"/>
      <c r="AA11" s="9"/>
      <c r="AB11" s="37">
        <v>1226</v>
      </c>
      <c r="AC11" s="9"/>
      <c r="AD11" s="9"/>
      <c r="AE11" s="9"/>
      <c r="AF11" s="9"/>
      <c r="AG11" s="9"/>
      <c r="AH11" s="9"/>
      <c r="AI11" s="9"/>
      <c r="AJ11" s="9"/>
      <c r="AK11" s="9"/>
      <c r="AL11" s="9"/>
      <c r="AM11" s="9"/>
      <c r="AN11" s="9"/>
      <c r="AO11" s="9"/>
      <c r="AP11" s="9"/>
      <c r="AQ11" s="9"/>
      <c r="AR11" s="9"/>
      <c r="AS11" s="9"/>
      <c r="AT11" s="9"/>
      <c r="AU11" s="9"/>
      <c r="AV11" s="9"/>
    </row>
    <row r="12" ht="18" customHeight="1" spans="1:23" s="38" customFormat="1" x14ac:dyDescent="0.25">
      <c r="A12" s="39" t="s">
        <v>29</v>
      </c>
      <c r="B12" s="39"/>
      <c r="C12" s="40"/>
      <c r="D12" s="41"/>
      <c r="E12" s="39"/>
      <c r="F12" s="39"/>
      <c r="G12" s="39"/>
      <c r="H12" s="39"/>
      <c r="I12" s="39"/>
      <c r="J12" s="39"/>
      <c r="K12" s="39"/>
      <c r="L12" s="39"/>
      <c r="M12" s="39"/>
      <c r="N12" s="39"/>
      <c r="O12" s="39"/>
      <c r="P12" s="39"/>
      <c r="Q12" s="39"/>
      <c r="R12" s="39"/>
      <c r="S12" s="39"/>
      <c r="T12" s="39"/>
      <c r="U12" s="39"/>
      <c r="V12" s="39"/>
      <c r="W12" s="42"/>
    </row>
    <row r="13" ht="16" customHeight="1" spans="1:48" x14ac:dyDescent="0.25">
      <c r="A13" s="43" t="s">
        <v>30</v>
      </c>
      <c r="B13" s="44"/>
      <c r="C13" s="43"/>
      <c r="D13" s="44"/>
      <c r="E13" s="44"/>
      <c r="F13" s="44"/>
      <c r="G13" s="44"/>
      <c r="H13" s="44"/>
      <c r="I13" s="44"/>
      <c r="J13" s="44"/>
      <c r="K13" s="44"/>
      <c r="L13" s="44"/>
      <c r="M13" s="44"/>
      <c r="N13" s="44"/>
      <c r="O13" s="44"/>
      <c r="P13" s="44"/>
      <c r="Q13" s="44"/>
      <c r="R13" s="44"/>
      <c r="S13" s="44"/>
      <c r="T13" s="44"/>
      <c r="U13" s="44"/>
      <c r="V13" s="44"/>
      <c r="W13" s="43"/>
      <c r="X13" s="9"/>
      <c r="Y13" s="9"/>
      <c r="Z13" s="9"/>
      <c r="AA13" s="45">
        <f>AB13/$AB$11</f>
        <v>0.7128874388254486</v>
      </c>
      <c r="AB13" s="46">
        <v>874</v>
      </c>
      <c r="AC13" s="9" t="s">
        <v>31</v>
      </c>
      <c r="AD13" s="9"/>
      <c r="AE13" s="9"/>
      <c r="AF13" s="9"/>
      <c r="AG13" s="9"/>
      <c r="AH13" s="9"/>
      <c r="AI13" s="9"/>
      <c r="AJ13" s="9"/>
      <c r="AK13" s="9"/>
      <c r="AL13" s="9"/>
      <c r="AM13" s="9"/>
      <c r="AN13" s="9"/>
      <c r="AO13" s="9"/>
      <c r="AP13" s="9"/>
      <c r="AQ13" s="9"/>
      <c r="AR13" s="9"/>
      <c r="AS13" s="9"/>
      <c r="AT13" s="9"/>
      <c r="AU13" s="9"/>
      <c r="AV13" s="9"/>
    </row>
    <row r="14" ht="15" customHeight="1" spans="1:29" s="38" customFormat="1" x14ac:dyDescent="0.25">
      <c r="A14" s="47" t="s">
        <v>32</v>
      </c>
      <c r="B14" s="48">
        <v>52500000</v>
      </c>
      <c r="C14" s="49">
        <v>52500000</v>
      </c>
      <c r="D14" s="50">
        <f>C69</f>
        <v>19825000</v>
      </c>
      <c r="E14" s="50">
        <f>D14*(1+D70)</f>
        <v>27450000</v>
      </c>
      <c r="F14" s="50">
        <f t="shared" ref="F14:V14" si="0">E14*(1+E70)</f>
        <v>27450000</v>
      </c>
      <c r="G14" s="50">
        <f t="shared" si="0"/>
        <v>35075000</v>
      </c>
      <c r="H14" s="50">
        <f t="shared" si="0"/>
        <v>35075000</v>
      </c>
      <c r="I14" s="50">
        <f t="shared" si="0"/>
        <v>35075000</v>
      </c>
      <c r="J14" s="50">
        <f t="shared" si="0"/>
        <v>35075000</v>
      </c>
      <c r="K14" s="50">
        <f t="shared" si="0"/>
        <v>35075000</v>
      </c>
      <c r="L14" s="50">
        <f t="shared" si="0"/>
        <v>35075000</v>
      </c>
      <c r="M14" s="50">
        <f t="shared" si="0"/>
        <v>35075000</v>
      </c>
      <c r="N14" s="50">
        <f t="shared" si="0"/>
        <v>35075000</v>
      </c>
      <c r="O14" s="50">
        <f t="shared" si="0"/>
        <v>35075000</v>
      </c>
      <c r="P14" s="50">
        <f t="shared" si="0"/>
        <v>35075000</v>
      </c>
      <c r="Q14" s="50">
        <f t="shared" si="0"/>
        <v>35075000</v>
      </c>
      <c r="R14" s="50">
        <f t="shared" si="0"/>
        <v>35075000</v>
      </c>
      <c r="S14" s="50">
        <f t="shared" si="0"/>
        <v>35075000</v>
      </c>
      <c r="T14" s="50">
        <f t="shared" si="0"/>
        <v>35075000</v>
      </c>
      <c r="U14" s="50">
        <f t="shared" si="0"/>
        <v>35075000</v>
      </c>
      <c r="V14" s="50">
        <f t="shared" si="0"/>
        <v>35075000</v>
      </c>
      <c r="W14" s="51"/>
      <c r="AA14" s="38">
        <f>AB14/$AB$11</f>
        <v>0.28711256117455136</v>
      </c>
      <c r="AB14" s="38">
        <v>352</v>
      </c>
      <c r="AC14" s="38" t="s">
        <v>33</v>
      </c>
    </row>
    <row r="15" ht="15" customHeight="1" spans="1:23" s="38" customFormat="1" x14ac:dyDescent="0.25">
      <c r="A15" s="47" t="s">
        <v>34</v>
      </c>
      <c r="B15" s="52">
        <v>0</v>
      </c>
      <c r="C15" s="53">
        <v>0</v>
      </c>
      <c r="D15" s="54">
        <v>0</v>
      </c>
      <c r="E15" s="54">
        <v>0</v>
      </c>
      <c r="F15" s="54">
        <v>0</v>
      </c>
      <c r="G15" s="54">
        <v>0</v>
      </c>
      <c r="H15" s="54">
        <v>0</v>
      </c>
      <c r="I15" s="54">
        <v>0</v>
      </c>
      <c r="J15" s="54">
        <v>0</v>
      </c>
      <c r="K15" s="54">
        <v>0</v>
      </c>
      <c r="L15" s="54">
        <v>0</v>
      </c>
      <c r="M15" s="54">
        <v>0</v>
      </c>
      <c r="N15" s="54">
        <v>0</v>
      </c>
      <c r="O15" s="54">
        <v>0</v>
      </c>
      <c r="P15" s="54">
        <v>0</v>
      </c>
      <c r="Q15" s="54">
        <v>0</v>
      </c>
      <c r="R15" s="54">
        <v>0</v>
      </c>
      <c r="S15" s="54">
        <v>0</v>
      </c>
      <c r="T15" s="54">
        <v>0</v>
      </c>
      <c r="U15" s="54">
        <v>0</v>
      </c>
      <c r="V15" s="54">
        <v>0</v>
      </c>
      <c r="W15" s="55"/>
    </row>
    <row r="16" ht="15" customHeight="1" spans="1:23" s="38" customFormat="1" x14ac:dyDescent="0.25">
      <c r="A16" s="47" t="s">
        <v>35</v>
      </c>
      <c r="B16" s="56">
        <v>10000000</v>
      </c>
      <c r="C16" s="57">
        <v>10000000</v>
      </c>
      <c r="D16" s="58">
        <v>10000000</v>
      </c>
      <c r="E16" s="58">
        <v>10000000</v>
      </c>
      <c r="F16" s="58">
        <v>10000000</v>
      </c>
      <c r="G16" s="58">
        <v>10000000</v>
      </c>
      <c r="H16" s="58">
        <v>10000000</v>
      </c>
      <c r="I16" s="58">
        <v>10000000</v>
      </c>
      <c r="J16" s="58">
        <v>10000000</v>
      </c>
      <c r="K16" s="58">
        <v>10000000</v>
      </c>
      <c r="L16" s="58">
        <v>10000000</v>
      </c>
      <c r="M16" s="58">
        <v>10000000</v>
      </c>
      <c r="N16" s="58">
        <v>10000000</v>
      </c>
      <c r="O16" s="58">
        <v>10000000</v>
      </c>
      <c r="P16" s="58">
        <v>10000000</v>
      </c>
      <c r="Q16" s="58">
        <v>10000000</v>
      </c>
      <c r="R16" s="58">
        <v>10000000</v>
      </c>
      <c r="S16" s="58">
        <v>10000000</v>
      </c>
      <c r="T16" s="58">
        <v>10000000</v>
      </c>
      <c r="U16" s="58">
        <v>10000000</v>
      </c>
      <c r="V16" s="58">
        <v>10000000</v>
      </c>
      <c r="W16" s="59"/>
    </row>
    <row r="17" ht="15" customHeight="1" spans="1:28" s="60" customFormat="1" x14ac:dyDescent="0.25">
      <c r="A17" s="61" t="s">
        <v>36</v>
      </c>
      <c r="B17" s="62"/>
      <c r="C17" s="63">
        <f>SUM(C14:C16)</f>
        <v>12644832</v>
      </c>
      <c r="D17" s="64">
        <f>SUM(D14:D16)</f>
        <v>19963117</v>
      </c>
      <c r="E17" s="65">
        <f t="shared" ref="E17:V17" si="1">SUM(E14:E16)</f>
        <v>27588117</v>
      </c>
      <c r="F17" s="65">
        <f t="shared" si="1"/>
        <v>27588117</v>
      </c>
      <c r="G17" s="65">
        <f t="shared" si="1"/>
        <v>35213117</v>
      </c>
      <c r="H17" s="65">
        <f t="shared" si="1"/>
        <v>35213117</v>
      </c>
      <c r="I17" s="65">
        <f t="shared" si="1"/>
        <v>35213117</v>
      </c>
      <c r="J17" s="65">
        <f t="shared" si="1"/>
        <v>35213117</v>
      </c>
      <c r="K17" s="65">
        <f t="shared" si="1"/>
        <v>35213117</v>
      </c>
      <c r="L17" s="65">
        <f t="shared" si="1"/>
        <v>35213117</v>
      </c>
      <c r="M17" s="65">
        <f t="shared" si="1"/>
        <v>35213117</v>
      </c>
      <c r="N17" s="65">
        <f t="shared" si="1"/>
        <v>35213117</v>
      </c>
      <c r="O17" s="65">
        <f t="shared" si="1"/>
        <v>35213117</v>
      </c>
      <c r="P17" s="65">
        <f t="shared" si="1"/>
        <v>35213117</v>
      </c>
      <c r="Q17" s="65">
        <f t="shared" si="1"/>
        <v>35213117</v>
      </c>
      <c r="R17" s="65">
        <f t="shared" si="1"/>
        <v>35213117</v>
      </c>
      <c r="S17" s="65">
        <f t="shared" si="1"/>
        <v>35213117</v>
      </c>
      <c r="T17" s="65">
        <f t="shared" si="1"/>
        <v>35213117</v>
      </c>
      <c r="U17" s="65">
        <f t="shared" si="1"/>
        <v>35213117</v>
      </c>
      <c r="V17" s="65">
        <f t="shared" si="1"/>
        <v>35213117</v>
      </c>
      <c r="W17" s="63"/>
      <c r="X17" s="66"/>
      <c r="Y17" s="66"/>
      <c r="Z17" s="66"/>
      <c r="AA17" s="66"/>
      <c r="AB17" s="66"/>
    </row>
    <row r="18" ht="15" customHeight="1" hidden="1" spans="1:23" s="38" customFormat="1" x14ac:dyDescent="0.25" outlineLevel="1" collapsed="1">
      <c r="A18" s="47" t="s">
        <v>37</v>
      </c>
      <c r="B18" s="67"/>
      <c r="C18" s="53"/>
      <c r="D18" s="54"/>
      <c r="E18" s="54"/>
      <c r="F18" s="54"/>
      <c r="G18" s="54"/>
      <c r="H18" s="54"/>
      <c r="I18" s="54"/>
      <c r="J18" s="54"/>
      <c r="K18" s="54"/>
      <c r="L18" s="54"/>
      <c r="M18" s="54"/>
      <c r="N18" s="54"/>
      <c r="O18" s="54"/>
      <c r="P18" s="54"/>
      <c r="Q18" s="54"/>
      <c r="R18" s="54"/>
      <c r="S18" s="54"/>
      <c r="T18" s="54"/>
      <c r="U18" s="54"/>
      <c r="V18" s="54"/>
      <c r="W18" s="55"/>
    </row>
    <row r="19" hidden="1" spans="1:48" x14ac:dyDescent="0.25" outlineLevel="1" collapsed="1">
      <c r="A19" s="68" t="s">
        <v>32</v>
      </c>
      <c r="B19" s="67">
        <v>5000000</v>
      </c>
      <c r="C19" s="53">
        <f>S19</f>
        <v>0</v>
      </c>
      <c r="D19" s="54"/>
      <c r="E19" s="54"/>
      <c r="F19" s="54"/>
      <c r="G19" s="54"/>
      <c r="H19" s="54"/>
      <c r="I19" s="54"/>
      <c r="J19" s="54"/>
      <c r="K19" s="54"/>
      <c r="L19" s="54"/>
      <c r="M19" s="54"/>
      <c r="N19" s="54"/>
      <c r="O19" s="54"/>
      <c r="P19" s="54"/>
      <c r="Q19" s="54"/>
      <c r="R19" s="54"/>
      <c r="S19" s="54"/>
      <c r="T19" s="54"/>
      <c r="U19" s="54"/>
      <c r="V19" s="54"/>
      <c r="W19" s="55"/>
      <c r="X19" s="12"/>
      <c r="Y19" s="9"/>
      <c r="Z19" s="9"/>
      <c r="AA19" s="9"/>
      <c r="AB19" s="9"/>
      <c r="AC19" s="9"/>
      <c r="AD19" s="9"/>
      <c r="AE19" s="9"/>
      <c r="AF19" s="9"/>
      <c r="AG19" s="9"/>
      <c r="AH19" s="9"/>
      <c r="AI19" s="9"/>
      <c r="AJ19" s="9"/>
      <c r="AK19" s="9"/>
      <c r="AL19" s="9"/>
      <c r="AM19" s="9"/>
      <c r="AN19" s="9"/>
      <c r="AO19" s="9"/>
      <c r="AP19" s="9"/>
      <c r="AQ19" s="9"/>
      <c r="AR19" s="9"/>
      <c r="AS19" s="9"/>
      <c r="AT19" s="9"/>
      <c r="AU19" s="9"/>
      <c r="AV19" s="9"/>
    </row>
    <row r="20" hidden="1" spans="1:48" x14ac:dyDescent="0.25" outlineLevel="1" collapsed="1">
      <c r="A20" s="68" t="s">
        <v>34</v>
      </c>
      <c r="B20" s="67"/>
      <c r="C20" s="53">
        <v>0</v>
      </c>
      <c r="D20" s="54"/>
      <c r="E20" s="54"/>
      <c r="F20" s="54"/>
      <c r="G20" s="54"/>
      <c r="H20" s="54"/>
      <c r="I20" s="54"/>
      <c r="J20" s="54"/>
      <c r="K20" s="54"/>
      <c r="L20" s="54"/>
      <c r="M20" s="54"/>
      <c r="N20" s="54"/>
      <c r="O20" s="54"/>
      <c r="P20" s="54"/>
      <c r="Q20" s="54"/>
      <c r="R20" s="54"/>
      <c r="S20" s="54"/>
      <c r="T20" s="54"/>
      <c r="U20" s="54"/>
      <c r="V20" s="54"/>
      <c r="W20" s="55"/>
      <c r="X20" s="12"/>
      <c r="Y20" s="9"/>
      <c r="Z20" s="9"/>
      <c r="AA20" s="9"/>
      <c r="AB20" s="9"/>
      <c r="AC20" s="9"/>
      <c r="AD20" s="9"/>
      <c r="AE20" s="9"/>
      <c r="AF20" s="9"/>
      <c r="AG20" s="9"/>
      <c r="AH20" s="9"/>
      <c r="AI20" s="9"/>
      <c r="AJ20" s="9"/>
      <c r="AK20" s="9"/>
      <c r="AL20" s="9"/>
      <c r="AM20" s="9"/>
      <c r="AN20" s="9"/>
      <c r="AO20" s="9"/>
      <c r="AP20" s="9"/>
      <c r="AQ20" s="9"/>
      <c r="AR20" s="9"/>
      <c r="AS20" s="9"/>
      <c r="AT20" s="9"/>
      <c r="AU20" s="9"/>
      <c r="AV20" s="9"/>
    </row>
    <row r="21" hidden="1" spans="1:48" x14ac:dyDescent="0.25" outlineLevel="1" collapsed="1">
      <c r="A21" s="68" t="s">
        <v>35</v>
      </c>
      <c r="B21" s="67"/>
      <c r="C21" s="53">
        <f>S21</f>
        <v>0</v>
      </c>
      <c r="D21" s="54"/>
      <c r="E21" s="54"/>
      <c r="F21" s="54"/>
      <c r="G21" s="54"/>
      <c r="H21" s="54"/>
      <c r="I21" s="54"/>
      <c r="J21" s="54"/>
      <c r="K21" s="54"/>
      <c r="L21" s="54"/>
      <c r="M21" s="54"/>
      <c r="N21" s="54"/>
      <c r="O21" s="54"/>
      <c r="P21" s="54"/>
      <c r="Q21" s="54"/>
      <c r="R21" s="54"/>
      <c r="S21" s="54"/>
      <c r="T21" s="54"/>
      <c r="U21" s="54"/>
      <c r="V21" s="54"/>
      <c r="W21" s="55"/>
      <c r="X21" s="12"/>
      <c r="Y21" s="9"/>
      <c r="Z21" s="9"/>
      <c r="AA21" s="9"/>
      <c r="AB21" s="9"/>
      <c r="AC21" s="9"/>
      <c r="AD21" s="9"/>
      <c r="AE21" s="9"/>
      <c r="AF21" s="9"/>
      <c r="AG21" s="9"/>
      <c r="AH21" s="9"/>
      <c r="AI21" s="9"/>
      <c r="AJ21" s="9"/>
      <c r="AK21" s="9"/>
      <c r="AL21" s="9"/>
      <c r="AM21" s="9"/>
      <c r="AN21" s="9"/>
      <c r="AO21" s="9"/>
      <c r="AP21" s="9"/>
      <c r="AQ21" s="9"/>
      <c r="AR21" s="9"/>
      <c r="AS21" s="9"/>
      <c r="AT21" s="9"/>
      <c r="AU21" s="9"/>
      <c r="AV21" s="9"/>
    </row>
    <row r="22" spans="1:48" x14ac:dyDescent="0.25">
      <c r="A22" s="47" t="s">
        <v>37</v>
      </c>
      <c r="B22" s="67">
        <v>5000000</v>
      </c>
      <c r="C22" s="53">
        <v>0</v>
      </c>
      <c r="D22" s="54">
        <v>0</v>
      </c>
      <c r="E22" s="54">
        <v>0</v>
      </c>
      <c r="F22" s="54">
        <v>0</v>
      </c>
      <c r="G22" s="54">
        <v>0</v>
      </c>
      <c r="H22" s="54">
        <v>0</v>
      </c>
      <c r="I22" s="54">
        <v>0</v>
      </c>
      <c r="J22" s="54">
        <v>0</v>
      </c>
      <c r="K22" s="54">
        <v>0</v>
      </c>
      <c r="L22" s="54">
        <v>0</v>
      </c>
      <c r="M22" s="54">
        <v>0</v>
      </c>
      <c r="N22" s="54">
        <v>0</v>
      </c>
      <c r="O22" s="54">
        <v>0</v>
      </c>
      <c r="P22" s="54">
        <v>0</v>
      </c>
      <c r="Q22" s="54">
        <v>0</v>
      </c>
      <c r="R22" s="54">
        <v>0</v>
      </c>
      <c r="S22" s="54"/>
      <c r="T22" s="54"/>
      <c r="U22" s="54"/>
      <c r="V22" s="54"/>
      <c r="W22" s="55"/>
      <c r="X22" s="12"/>
      <c r="Y22" s="9"/>
      <c r="Z22" s="9"/>
      <c r="AA22" s="9"/>
      <c r="AB22" s="9"/>
      <c r="AC22" s="9"/>
      <c r="AD22" s="9"/>
      <c r="AE22" s="9"/>
      <c r="AF22" s="9"/>
      <c r="AG22" s="9"/>
      <c r="AH22" s="9"/>
      <c r="AI22" s="9"/>
      <c r="AJ22" s="9"/>
      <c r="AK22" s="9"/>
      <c r="AL22" s="9"/>
      <c r="AM22" s="9"/>
      <c r="AN22" s="9"/>
      <c r="AO22" s="9"/>
      <c r="AP22" s="9"/>
      <c r="AQ22" s="9"/>
      <c r="AR22" s="9"/>
      <c r="AS22" s="9"/>
      <c r="AT22" s="9"/>
      <c r="AU22" s="9"/>
      <c r="AV22" s="9"/>
    </row>
    <row r="23" ht="15" customHeight="1" spans="1:23" s="60" customFormat="1" x14ac:dyDescent="0.25">
      <c r="A23" s="61" t="s">
        <v>38</v>
      </c>
      <c r="B23" s="65"/>
      <c r="C23" s="63">
        <f t="shared" ref="C23:U23" si="2">C17-C22</f>
        <v>12644832</v>
      </c>
      <c r="D23" s="64">
        <f t="shared" si="2"/>
        <v>19963117</v>
      </c>
      <c r="E23" s="65">
        <f t="shared" si="2"/>
        <v>27588117</v>
      </c>
      <c r="F23" s="65">
        <f t="shared" si="2"/>
        <v>27588117</v>
      </c>
      <c r="G23" s="65">
        <f t="shared" si="2"/>
        <v>35213117</v>
      </c>
      <c r="H23" s="65">
        <f t="shared" si="2"/>
        <v>35213117</v>
      </c>
      <c r="I23" s="65">
        <f t="shared" si="2"/>
        <v>35213117</v>
      </c>
      <c r="J23" s="65">
        <f t="shared" si="2"/>
        <v>35213117</v>
      </c>
      <c r="K23" s="65">
        <f t="shared" si="2"/>
        <v>35213117</v>
      </c>
      <c r="L23" s="65">
        <f t="shared" si="2"/>
        <v>35213117</v>
      </c>
      <c r="M23" s="65">
        <f t="shared" si="2"/>
        <v>35213117</v>
      </c>
      <c r="N23" s="65">
        <f t="shared" si="2"/>
        <v>35213117</v>
      </c>
      <c r="O23" s="65">
        <f t="shared" si="2"/>
        <v>35213117</v>
      </c>
      <c r="P23" s="65">
        <f t="shared" si="2"/>
        <v>35213117</v>
      </c>
      <c r="Q23" s="65">
        <f t="shared" si="2"/>
        <v>35213117</v>
      </c>
      <c r="R23" s="65">
        <f t="shared" si="2"/>
        <v>35213117</v>
      </c>
      <c r="S23" s="65">
        <f t="shared" si="2"/>
        <v>35213117</v>
      </c>
      <c r="T23" s="65">
        <f t="shared" si="2"/>
        <v>35213117</v>
      </c>
      <c r="U23" s="65">
        <f t="shared" si="2"/>
        <v>35213117</v>
      </c>
      <c r="V23" s="65">
        <f t="shared" ref="V23" si="3">V17-V22</f>
        <v>35213117</v>
      </c>
      <c r="W23" s="63"/>
    </row>
    <row r="24" ht="15" customHeight="1" hidden="1" spans="1:48" x14ac:dyDescent="0.25">
      <c r="A24" s="69"/>
      <c r="B24" s="70"/>
      <c r="C24" s="71"/>
      <c r="D24" s="72"/>
      <c r="E24" s="72"/>
      <c r="F24" s="72"/>
      <c r="G24" s="72"/>
      <c r="H24" s="72"/>
      <c r="I24" s="72"/>
      <c r="J24" s="72"/>
      <c r="K24" s="72"/>
      <c r="L24" s="72"/>
      <c r="M24" s="72"/>
      <c r="N24" s="72"/>
      <c r="O24" s="72"/>
      <c r="P24" s="72"/>
      <c r="Q24" s="72"/>
      <c r="R24" s="72"/>
      <c r="S24" s="70"/>
      <c r="T24" s="70"/>
      <c r="U24" s="70"/>
      <c r="V24" s="70"/>
      <c r="W24" s="73"/>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ht="15" customHeight="1" spans="1:23" s="38" customFormat="1" x14ac:dyDescent="0.25">
      <c r="A25" s="43" t="s">
        <v>39</v>
      </c>
      <c r="B25" s="44"/>
      <c r="C25" s="74"/>
      <c r="D25" s="44"/>
      <c r="E25" s="44"/>
      <c r="F25" s="44"/>
      <c r="G25" s="44"/>
      <c r="H25" s="44"/>
      <c r="I25" s="44"/>
      <c r="J25" s="44"/>
      <c r="K25" s="44"/>
      <c r="L25" s="44"/>
      <c r="M25" s="44"/>
      <c r="N25" s="44"/>
      <c r="O25" s="44"/>
      <c r="P25" s="44"/>
      <c r="Q25" s="44"/>
      <c r="R25" s="44"/>
      <c r="S25" s="44"/>
      <c r="T25" s="44"/>
      <c r="U25" s="44"/>
      <c r="V25" s="44"/>
      <c r="W25" s="43"/>
    </row>
    <row r="26" spans="1:48" x14ac:dyDescent="0.25">
      <c r="A26" s="47" t="s">
        <v>40</v>
      </c>
      <c r="B26" s="75"/>
      <c r="C26" s="76"/>
      <c r="D26" s="77">
        <v>0.001519</v>
      </c>
      <c r="E26" s="77"/>
      <c r="F26" s="77"/>
      <c r="G26" s="77"/>
      <c r="H26" s="77"/>
      <c r="I26" s="77"/>
      <c r="J26" s="77"/>
      <c r="K26" s="77"/>
      <c r="L26" s="77"/>
      <c r="M26" s="77"/>
      <c r="N26" s="77"/>
      <c r="O26" s="77"/>
      <c r="P26" s="77"/>
      <c r="Q26" s="77"/>
      <c r="R26" s="77"/>
      <c r="S26" s="77"/>
      <c r="T26" s="77"/>
      <c r="U26" s="77"/>
      <c r="V26" s="77"/>
      <c r="W26" s="78"/>
      <c r="X26" s="9"/>
      <c r="Y26" s="9"/>
      <c r="Z26" s="9"/>
      <c r="AA26" s="9"/>
      <c r="AB26" s="9"/>
      <c r="AC26" s="9"/>
      <c r="AD26" s="9"/>
      <c r="AE26" s="9"/>
      <c r="AF26" s="9"/>
      <c r="AG26" s="9"/>
      <c r="AH26" s="9"/>
      <c r="AI26" s="9"/>
      <c r="AJ26" s="9"/>
      <c r="AK26" s="9"/>
      <c r="AL26" s="9"/>
      <c r="AM26" s="9"/>
      <c r="AN26" s="9"/>
      <c r="AO26" s="9"/>
      <c r="AP26" s="9"/>
      <c r="AQ26" s="9"/>
      <c r="AR26" s="9"/>
      <c r="AS26" s="9"/>
      <c r="AT26" s="9"/>
      <c r="AU26" s="9"/>
      <c r="AV26" s="9"/>
    </row>
    <row r="27" spans="1:48" x14ac:dyDescent="0.25">
      <c r="A27" s="47" t="s">
        <v>41</v>
      </c>
      <c r="B27" s="79"/>
      <c r="C27" s="80"/>
      <c r="D27" s="81">
        <v>0.001218</v>
      </c>
      <c r="E27" s="81"/>
      <c r="F27" s="81"/>
      <c r="G27" s="81"/>
      <c r="H27" s="81"/>
      <c r="I27" s="81"/>
      <c r="J27" s="81"/>
      <c r="K27" s="81"/>
      <c r="L27" s="81"/>
      <c r="M27" s="81"/>
      <c r="N27" s="81"/>
      <c r="O27" s="81"/>
      <c r="P27" s="81"/>
      <c r="Q27" s="81"/>
      <c r="R27" s="81"/>
      <c r="S27" s="81"/>
      <c r="T27" s="81"/>
      <c r="U27" s="81"/>
      <c r="V27" s="81"/>
      <c r="W27" s="82"/>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spans="1:48" x14ac:dyDescent="0.25">
      <c r="A28" s="47" t="s">
        <v>42</v>
      </c>
      <c r="B28" s="83"/>
      <c r="C28" s="84"/>
      <c r="D28" s="85">
        <v>0.001124</v>
      </c>
      <c r="E28" s="85"/>
      <c r="F28" s="85"/>
      <c r="G28" s="85"/>
      <c r="H28" s="85"/>
      <c r="I28" s="85"/>
      <c r="J28" s="85"/>
      <c r="K28" s="85"/>
      <c r="L28" s="85"/>
      <c r="M28" s="85"/>
      <c r="N28" s="85"/>
      <c r="O28" s="85"/>
      <c r="P28" s="85"/>
      <c r="Q28" s="85"/>
      <c r="R28" s="85"/>
      <c r="S28" s="85"/>
      <c r="T28" s="85"/>
      <c r="U28" s="85"/>
      <c r="V28" s="85"/>
      <c r="W28" s="82"/>
      <c r="X28" s="9"/>
      <c r="Y28" s="9"/>
      <c r="Z28" s="9"/>
      <c r="AA28" s="9"/>
      <c r="AB28" s="9"/>
      <c r="AC28" s="9"/>
      <c r="AD28" s="9"/>
      <c r="AE28" s="9"/>
      <c r="AF28" s="9"/>
      <c r="AG28" s="9"/>
      <c r="AH28" s="9"/>
      <c r="AI28" s="9"/>
      <c r="AJ28" s="9"/>
      <c r="AK28" s="9"/>
      <c r="AL28" s="9"/>
      <c r="AM28" s="9"/>
      <c r="AN28" s="9"/>
      <c r="AO28" s="9"/>
      <c r="AP28" s="9"/>
      <c r="AQ28" s="9"/>
      <c r="AR28" s="9"/>
      <c r="AS28" s="9"/>
      <c r="AT28" s="9"/>
      <c r="AU28" s="9"/>
      <c r="AV28" s="9"/>
    </row>
    <row r="29" ht="15" customHeight="1" spans="1:22" x14ac:dyDescent="0.25">
      <c r="A29" t="s">
        <v>43</v>
      </c>
      <c r="D29">
        <v>0.002495</v>
      </c>
    </row>
    <row r="30" ht="17" customHeight="1" hidden="1" spans="1:22" x14ac:dyDescent="0.25">
      <c r="A30" t="s">
        <v>44</v>
      </c>
      <c r="D30">
        <v>0.001034</v>
      </c>
    </row>
    <row r="31" spans="1:22" x14ac:dyDescent="0.25">
      <c r="A31" t="s">
        <v>45</v>
      </c>
      <c r="D31">
        <v>0.004283</v>
      </c>
    </row>
    <row r="32" spans="1:22" x14ac:dyDescent="0.25">
      <c r="A32" t="s">
        <v>46</v>
      </c>
      <c r="D32">
        <v>0.000794</v>
      </c>
    </row>
    <row r="33" spans="1:22" x14ac:dyDescent="0.25">
      <c r="A33" t="s">
        <v>47</v>
      </c>
      <c r="D33">
        <v>0.001947</v>
      </c>
    </row>
    <row r="34" spans="1:22" x14ac:dyDescent="0.25">
      <c r="A34" t="s">
        <v>48</v>
      </c>
      <c r="D34">
        <v>0.002006</v>
      </c>
    </row>
    <row r="35" spans="1:22" x14ac:dyDescent="0.25">
      <c r="A35" t="s">
        <v>49</v>
      </c>
      <c r="D35">
        <v>0.001727</v>
      </c>
    </row>
    <row r="36" hidden="1" spans="1:48" x14ac:dyDescent="0.25">
      <c r="A36" s="86"/>
      <c r="B36" s="86"/>
      <c r="C36" s="87"/>
      <c r="D36" s="86"/>
      <c r="E36" s="86"/>
      <c r="F36" s="86"/>
      <c r="G36" s="86"/>
      <c r="H36" s="86"/>
      <c r="I36" s="86"/>
      <c r="J36" s="86"/>
      <c r="K36" s="86"/>
      <c r="L36" s="86"/>
      <c r="M36" s="86"/>
      <c r="N36" s="86"/>
      <c r="O36" s="86"/>
      <c r="P36" s="86"/>
      <c r="Q36" s="86"/>
      <c r="R36" s="86"/>
      <c r="S36" s="86"/>
      <c r="T36" s="86"/>
      <c r="U36" s="86"/>
      <c r="V36" s="86"/>
      <c r="W36" s="88">
        <f>SUM(U36:U36)</f>
        <v>0</v>
      </c>
      <c r="X36" s="9"/>
      <c r="Y36" s="9"/>
      <c r="Z36" s="9"/>
      <c r="AA36" s="9"/>
      <c r="AB36" s="9"/>
      <c r="AC36" s="9"/>
      <c r="AD36" s="9"/>
      <c r="AE36" s="9"/>
      <c r="AF36" s="9"/>
      <c r="AG36" s="9"/>
      <c r="AH36" s="9"/>
      <c r="AI36" s="9"/>
      <c r="AJ36" s="9"/>
      <c r="AK36" s="9"/>
      <c r="AL36" s="9"/>
      <c r="AM36" s="9"/>
      <c r="AN36" s="9"/>
      <c r="AO36" s="9"/>
      <c r="AP36" s="9"/>
      <c r="AQ36" s="9"/>
      <c r="AR36" s="9"/>
      <c r="AS36" s="9"/>
      <c r="AT36" s="9"/>
      <c r="AU36" s="9"/>
      <c r="AV36" s="9"/>
    </row>
    <row r="37" ht="15" customHeight="1" spans="1:23" s="38" customFormat="1" x14ac:dyDescent="0.25">
      <c r="A37" s="43" t="s">
        <v>50</v>
      </c>
      <c r="B37" s="44"/>
      <c r="C37" s="43"/>
      <c r="D37" s="44"/>
      <c r="E37" s="44"/>
      <c r="F37" s="44"/>
      <c r="G37" s="44"/>
      <c r="H37" s="44"/>
      <c r="I37" s="44"/>
      <c r="J37" s="44"/>
      <c r="K37" s="44"/>
      <c r="L37" s="44"/>
      <c r="M37" s="44"/>
      <c r="N37" s="44"/>
      <c r="O37" s="44"/>
      <c r="P37" s="44"/>
      <c r="Q37" s="44"/>
      <c r="R37" s="44"/>
      <c r="S37" s="44"/>
      <c r="T37" s="44"/>
      <c r="U37" s="44"/>
      <c r="V37" s="44"/>
      <c r="W37" s="43"/>
    </row>
    <row r="38" spans="1:48" x14ac:dyDescent="0.25" outlineLevel="1" collapsed="1">
      <c r="A38" s="47" t="s">
        <v>51</v>
      </c>
      <c r="B38" s="89"/>
      <c r="C38" s="90">
        <v>0.75</v>
      </c>
      <c r="D38" s="91">
        <f>C38</f>
        <v>0.75</v>
      </c>
      <c r="E38" s="91">
        <f t="shared" ref="E38:V39" si="4">D38</f>
        <v>0.75</v>
      </c>
      <c r="F38" s="91">
        <f t="shared" si="4"/>
        <v>0.75</v>
      </c>
      <c r="G38" s="91">
        <f t="shared" si="4"/>
        <v>0.75</v>
      </c>
      <c r="H38" s="91">
        <f t="shared" si="4"/>
        <v>0.75</v>
      </c>
      <c r="I38" s="91">
        <f t="shared" si="4"/>
        <v>0.75</v>
      </c>
      <c r="J38" s="91">
        <f t="shared" si="4"/>
        <v>0.75</v>
      </c>
      <c r="K38" s="91">
        <f t="shared" si="4"/>
        <v>0.75</v>
      </c>
      <c r="L38" s="91">
        <f t="shared" si="4"/>
        <v>0.75</v>
      </c>
      <c r="M38" s="91">
        <f t="shared" si="4"/>
        <v>0.75</v>
      </c>
      <c r="N38" s="91">
        <f t="shared" si="4"/>
        <v>0.75</v>
      </c>
      <c r="O38" s="91">
        <f t="shared" si="4"/>
        <v>0.75</v>
      </c>
      <c r="P38" s="91">
        <f t="shared" si="4"/>
        <v>0.75</v>
      </c>
      <c r="Q38" s="91">
        <f t="shared" si="4"/>
        <v>0.75</v>
      </c>
      <c r="R38" s="91">
        <f t="shared" si="4"/>
        <v>0.75</v>
      </c>
      <c r="S38" s="91">
        <f t="shared" si="4"/>
        <v>0.75</v>
      </c>
      <c r="T38" s="91">
        <f t="shared" si="4"/>
        <v>0.75</v>
      </c>
      <c r="U38" s="91">
        <f t="shared" si="4"/>
        <v>0.75</v>
      </c>
      <c r="V38" s="91">
        <f t="shared" si="4"/>
        <v>0.75</v>
      </c>
      <c r="W38" s="92"/>
      <c r="X38" s="9"/>
      <c r="Y38" s="9"/>
      <c r="Z38" s="9"/>
      <c r="AA38" s="9"/>
      <c r="AB38" s="9"/>
      <c r="AC38" s="9"/>
      <c r="AD38" s="9"/>
      <c r="AE38" s="9"/>
      <c r="AF38" s="9"/>
      <c r="AG38" s="9"/>
      <c r="AH38" s="9"/>
      <c r="AI38" s="9"/>
      <c r="AJ38" s="9"/>
      <c r="AK38" s="9"/>
      <c r="AL38" s="9"/>
      <c r="AM38" s="9"/>
      <c r="AN38" s="9"/>
      <c r="AO38" s="9"/>
      <c r="AP38" s="9"/>
      <c r="AQ38" s="9"/>
      <c r="AR38" s="9"/>
      <c r="AS38" s="9"/>
      <c r="AT38" s="9"/>
      <c r="AU38" s="9"/>
      <c r="AV38" s="9"/>
    </row>
    <row r="39" spans="1:48" x14ac:dyDescent="0.25" outlineLevel="1" collapsed="1">
      <c r="A39" s="47" t="s">
        <v>52</v>
      </c>
      <c r="B39" s="93"/>
      <c r="C39" s="94">
        <v>0.5</v>
      </c>
      <c r="D39" s="95">
        <f>C39</f>
        <v>0.5</v>
      </c>
      <c r="E39" s="95">
        <f t="shared" ref="E39:Q39" si="5">D39</f>
        <v>0.5</v>
      </c>
      <c r="F39" s="95">
        <f t="shared" si="5"/>
        <v>0.5</v>
      </c>
      <c r="G39" s="95">
        <f t="shared" si="5"/>
        <v>0.5</v>
      </c>
      <c r="H39" s="95">
        <f t="shared" si="5"/>
        <v>0.5</v>
      </c>
      <c r="I39" s="95">
        <f t="shared" si="5"/>
        <v>0.5</v>
      </c>
      <c r="J39" s="95">
        <f t="shared" si="5"/>
        <v>0.5</v>
      </c>
      <c r="K39" s="95">
        <f t="shared" si="5"/>
        <v>0.5</v>
      </c>
      <c r="L39" s="95">
        <f t="shared" si="5"/>
        <v>0.5</v>
      </c>
      <c r="M39" s="95">
        <f t="shared" si="5"/>
        <v>0.5</v>
      </c>
      <c r="N39" s="95">
        <f t="shared" si="5"/>
        <v>0.5</v>
      </c>
      <c r="O39" s="95">
        <f t="shared" si="5"/>
        <v>0.5</v>
      </c>
      <c r="P39" s="95">
        <f t="shared" si="5"/>
        <v>0.5</v>
      </c>
      <c r="Q39" s="95">
        <f t="shared" si="5"/>
        <v>0.5</v>
      </c>
      <c r="R39" s="95">
        <f t="shared" si="4"/>
        <v>0.5</v>
      </c>
      <c r="S39" s="95">
        <f t="shared" si="4"/>
        <v>0.5</v>
      </c>
      <c r="T39" s="95">
        <f t="shared" si="4"/>
        <v>0.5</v>
      </c>
      <c r="U39" s="95">
        <f t="shared" si="4"/>
        <v>0.5</v>
      </c>
      <c r="V39" s="95">
        <f t="shared" si="4"/>
        <v>0.5</v>
      </c>
      <c r="W39" s="96"/>
      <c r="X39" s="9"/>
      <c r="Y39" s="9"/>
      <c r="Z39" s="9"/>
      <c r="AA39" s="9"/>
      <c r="AB39" s="9"/>
      <c r="AC39" s="9"/>
      <c r="AD39" s="9"/>
      <c r="AE39" s="9"/>
      <c r="AF39" s="9"/>
      <c r="AG39" s="9"/>
      <c r="AH39" s="9"/>
      <c r="AI39" s="9"/>
      <c r="AJ39" s="9"/>
      <c r="AK39" s="9"/>
      <c r="AL39" s="9"/>
      <c r="AM39" s="9"/>
      <c r="AN39" s="9"/>
      <c r="AO39" s="9"/>
      <c r="AP39" s="9"/>
      <c r="AQ39" s="9"/>
      <c r="AR39" s="9"/>
      <c r="AS39" s="9"/>
      <c r="AT39" s="9"/>
      <c r="AU39" s="9"/>
      <c r="AV39" s="9"/>
    </row>
    <row r="40" spans="1:48" x14ac:dyDescent="0.25" outlineLevel="1" collapsed="1">
      <c r="A40" s="97" t="s">
        <v>53</v>
      </c>
      <c r="B40" s="98"/>
      <c r="C40" s="99">
        <v>0.75</v>
      </c>
      <c r="D40" s="100">
        <f>C40</f>
        <v>0.75</v>
      </c>
      <c r="E40" s="100">
        <f t="shared" ref="E40:V40" si="6">D40</f>
        <v>0.75</v>
      </c>
      <c r="F40" s="100">
        <f t="shared" si="6"/>
        <v>0.75</v>
      </c>
      <c r="G40" s="100">
        <f t="shared" si="6"/>
        <v>0.75</v>
      </c>
      <c r="H40" s="100">
        <f t="shared" si="6"/>
        <v>0.75</v>
      </c>
      <c r="I40" s="100">
        <f t="shared" si="6"/>
        <v>0.75</v>
      </c>
      <c r="J40" s="100">
        <f t="shared" si="6"/>
        <v>0.75</v>
      </c>
      <c r="K40" s="100">
        <f t="shared" si="6"/>
        <v>0.75</v>
      </c>
      <c r="L40" s="100">
        <f t="shared" si="6"/>
        <v>0.75</v>
      </c>
      <c r="M40" s="100">
        <f t="shared" si="6"/>
        <v>0.75</v>
      </c>
      <c r="N40" s="100">
        <f t="shared" si="6"/>
        <v>0.75</v>
      </c>
      <c r="O40" s="100">
        <f t="shared" si="6"/>
        <v>0.75</v>
      </c>
      <c r="P40" s="100">
        <f t="shared" si="6"/>
        <v>0.75</v>
      </c>
      <c r="Q40" s="100">
        <f t="shared" si="6"/>
        <v>0.75</v>
      </c>
      <c r="R40" s="100">
        <f t="shared" si="6"/>
        <v>0.75</v>
      </c>
      <c r="S40" s="100">
        <f t="shared" si="6"/>
        <v>0.75</v>
      </c>
      <c r="T40" s="100">
        <f t="shared" si="6"/>
        <v>0.75</v>
      </c>
      <c r="U40" s="100">
        <f t="shared" si="6"/>
        <v>0.75</v>
      </c>
      <c r="V40" s="100">
        <f t="shared" si="6"/>
        <v>0.75</v>
      </c>
      <c r="W40" s="101"/>
      <c r="X40" s="9"/>
      <c r="Y40" s="9"/>
      <c r="Z40" s="9"/>
      <c r="AA40" s="9"/>
      <c r="AB40" s="9"/>
      <c r="AC40" s="9"/>
      <c r="AD40" s="9"/>
      <c r="AE40" s="9"/>
      <c r="AF40" s="9"/>
      <c r="AG40" s="9"/>
      <c r="AH40" s="9"/>
      <c r="AI40" s="9"/>
      <c r="AJ40" s="9"/>
      <c r="AK40" s="9"/>
      <c r="AL40" s="9"/>
      <c r="AM40" s="9"/>
      <c r="AN40" s="9"/>
      <c r="AO40" s="9"/>
      <c r="AP40" s="9"/>
      <c r="AQ40" s="9"/>
      <c r="AR40" s="9"/>
      <c r="AS40" s="9"/>
      <c r="AT40" s="9"/>
      <c r="AU40" s="9"/>
      <c r="AV40" s="9"/>
    </row>
    <row r="41" ht="15" customHeight="1" spans="1:48" x14ac:dyDescent="0.25">
      <c r="A41" s="102"/>
      <c r="B41" s="70"/>
      <c r="C41" s="103"/>
      <c r="D41" s="104"/>
      <c r="E41" s="104"/>
      <c r="F41" s="104"/>
      <c r="G41" s="104"/>
      <c r="H41" s="104"/>
      <c r="I41" s="104"/>
      <c r="J41" s="104"/>
      <c r="K41" s="104"/>
      <c r="L41" s="104"/>
      <c r="M41" s="104"/>
      <c r="N41" s="104"/>
      <c r="O41" s="104"/>
      <c r="P41" s="104"/>
      <c r="Q41" s="104"/>
      <c r="R41" s="104"/>
      <c r="S41" s="70"/>
      <c r="T41" s="70"/>
      <c r="U41" s="70"/>
      <c r="V41" s="70"/>
      <c r="W41" s="73"/>
      <c r="X41" s="9"/>
      <c r="Y41" s="9"/>
      <c r="Z41" s="9"/>
      <c r="AA41" s="9"/>
      <c r="AB41" s="9"/>
      <c r="AC41" s="9"/>
      <c r="AD41" s="9"/>
      <c r="AE41" s="9"/>
      <c r="AF41" s="9"/>
      <c r="AG41" s="9"/>
      <c r="AH41" s="9"/>
      <c r="AI41" s="9"/>
      <c r="AJ41" s="9"/>
      <c r="AK41" s="9"/>
      <c r="AL41" s="9"/>
      <c r="AM41" s="9"/>
      <c r="AN41" s="9"/>
      <c r="AO41" s="9"/>
      <c r="AP41" s="9"/>
      <c r="AQ41" s="9"/>
      <c r="AR41" s="9"/>
      <c r="AS41" s="9"/>
      <c r="AT41" s="9"/>
      <c r="AU41" s="9"/>
      <c r="AV41" s="9"/>
    </row>
    <row r="42" ht="15" customHeight="1" spans="1:23" s="38" customFormat="1" x14ac:dyDescent="0.25">
      <c r="A42" s="43" t="s">
        <v>54</v>
      </c>
      <c r="B42" s="44"/>
      <c r="C42" s="74"/>
      <c r="D42" s="105"/>
      <c r="E42" s="105"/>
      <c r="F42" s="105"/>
      <c r="G42" s="105"/>
      <c r="H42" s="105"/>
      <c r="I42" s="105"/>
      <c r="J42" s="105"/>
      <c r="K42" s="105"/>
      <c r="L42" s="105"/>
      <c r="M42" s="105"/>
      <c r="N42" s="105"/>
      <c r="O42" s="105"/>
      <c r="P42" s="105"/>
      <c r="Q42" s="105"/>
      <c r="R42" s="105"/>
      <c r="S42" s="44"/>
      <c r="T42" s="44"/>
      <c r="U42" s="44"/>
      <c r="V42" s="44"/>
      <c r="W42" s="43"/>
    </row>
    <row r="43" spans="1:48" x14ac:dyDescent="0.25">
      <c r="A43" s="47" t="s">
        <v>51</v>
      </c>
      <c r="B43" s="106"/>
      <c r="C43" s="49">
        <f>C38*C32</f>
        <v>11901.948120000001</v>
      </c>
      <c r="D43" s="50">
        <f t="shared" ref="D43:V43" si="7">D38*D32</f>
        <v>14238.693200250002</v>
      </c>
      <c r="E43" s="50">
        <f t="shared" si="7"/>
        <v>19677.224450250003</v>
      </c>
      <c r="F43" s="50">
        <f t="shared" si="7"/>
        <v>19677.224450250003</v>
      </c>
      <c r="G43" s="50">
        <f t="shared" si="7"/>
        <v>25115.755700250003</v>
      </c>
      <c r="H43" s="50">
        <f t="shared" si="7"/>
        <v>25115.755700250003</v>
      </c>
      <c r="I43" s="50">
        <f t="shared" si="7"/>
        <v>25115.755700250003</v>
      </c>
      <c r="J43" s="50">
        <f t="shared" si="7"/>
        <v>25115.755700250003</v>
      </c>
      <c r="K43" s="50">
        <f t="shared" si="7"/>
        <v>25115.755700250003</v>
      </c>
      <c r="L43" s="50">
        <f t="shared" si="7"/>
        <v>25115.755700250003</v>
      </c>
      <c r="M43" s="50">
        <f t="shared" si="7"/>
        <v>25115.755700250003</v>
      </c>
      <c r="N43" s="50">
        <f t="shared" si="7"/>
        <v>25115.755700250003</v>
      </c>
      <c r="O43" s="50">
        <f t="shared" si="7"/>
        <v>25115.755700250003</v>
      </c>
      <c r="P43" s="50">
        <f t="shared" si="7"/>
        <v>25115.755700250003</v>
      </c>
      <c r="Q43" s="50">
        <f t="shared" si="7"/>
        <v>25115.755700250003</v>
      </c>
      <c r="R43" s="50">
        <f t="shared" si="7"/>
        <v>25115.755700250003</v>
      </c>
      <c r="S43" s="50">
        <f t="shared" si="7"/>
        <v>25115.755700250003</v>
      </c>
      <c r="T43" s="50">
        <f t="shared" si="7"/>
        <v>25115.755700250003</v>
      </c>
      <c r="U43" s="50">
        <f t="shared" si="7"/>
        <v>25115.755700250003</v>
      </c>
      <c r="V43" s="50">
        <f t="shared" si="7"/>
        <v>25115.755700250003</v>
      </c>
      <c r="W43" s="51">
        <f>SUM(C43:V43)</f>
        <v>467347.1814247499</v>
      </c>
      <c r="X43" s="107" t="s">
        <v>55</v>
      </c>
      <c r="Y43" s="9"/>
      <c r="Z43" s="9"/>
      <c r="AA43" s="9"/>
      <c r="AB43" s="9"/>
      <c r="AC43" s="9"/>
      <c r="AD43" s="9"/>
      <c r="AE43" s="9"/>
      <c r="AF43" s="9"/>
      <c r="AG43" s="9"/>
      <c r="AH43" s="9"/>
      <c r="AI43" s="9"/>
      <c r="AJ43" s="9"/>
      <c r="AK43" s="9"/>
      <c r="AL43" s="9"/>
      <c r="AM43" s="9"/>
      <c r="AN43" s="9"/>
      <c r="AO43" s="9"/>
      <c r="AP43" s="9"/>
      <c r="AQ43" s="9"/>
      <c r="AR43" s="9"/>
      <c r="AS43" s="9"/>
      <c r="AT43" s="9"/>
      <c r="AU43" s="9"/>
      <c r="AV43" s="9"/>
    </row>
    <row r="44" spans="1:48" x14ac:dyDescent="0.25">
      <c r="A44" s="47" t="s">
        <v>52</v>
      </c>
      <c r="B44" s="108"/>
      <c r="C44" s="53">
        <f t="shared" ref="C44" si="8">C39*C33</f>
        <v>56610.912864</v>
      </c>
      <c r="D44" s="54">
        <f t="shared" ref="D44:V44" si="9">D39*D33</f>
        <v>66656.84766300001</v>
      </c>
      <c r="E44" s="54">
        <f t="shared" si="9"/>
        <v>92116.72266300001</v>
      </c>
      <c r="F44" s="54">
        <f t="shared" si="9"/>
        <v>92116.72266300001</v>
      </c>
      <c r="G44" s="54">
        <f t="shared" si="9"/>
        <v>117576.59766300001</v>
      </c>
      <c r="H44" s="54">
        <f t="shared" si="9"/>
        <v>117576.59766300001</v>
      </c>
      <c r="I44" s="54">
        <f t="shared" si="9"/>
        <v>117576.59766300001</v>
      </c>
      <c r="J44" s="54">
        <f t="shared" si="9"/>
        <v>117576.59766300001</v>
      </c>
      <c r="K44" s="54">
        <f t="shared" si="9"/>
        <v>117576.59766300001</v>
      </c>
      <c r="L44" s="54">
        <f t="shared" si="9"/>
        <v>117576.59766300001</v>
      </c>
      <c r="M44" s="54">
        <f t="shared" si="9"/>
        <v>117576.59766300001</v>
      </c>
      <c r="N44" s="54">
        <f t="shared" si="9"/>
        <v>117576.59766300001</v>
      </c>
      <c r="O44" s="54">
        <f t="shared" si="9"/>
        <v>117576.59766300001</v>
      </c>
      <c r="P44" s="54">
        <f t="shared" si="9"/>
        <v>117576.59766300001</v>
      </c>
      <c r="Q44" s="54">
        <f t="shared" si="9"/>
        <v>117576.59766300001</v>
      </c>
      <c r="R44" s="54">
        <f t="shared" si="9"/>
        <v>117576.59766300001</v>
      </c>
      <c r="S44" s="54">
        <f t="shared" si="9"/>
        <v>117576.59766300001</v>
      </c>
      <c r="T44" s="54">
        <f t="shared" si="9"/>
        <v>117576.59766300001</v>
      </c>
      <c r="U44" s="54">
        <f t="shared" si="9"/>
        <v>117576.59766300001</v>
      </c>
      <c r="V44" s="54">
        <f t="shared" si="9"/>
        <v>117576.59766300001</v>
      </c>
      <c r="W44" s="55">
        <f>SUM(C44:V44)</f>
        <v>2188726.768461</v>
      </c>
      <c r="X44" s="107" t="s">
        <v>56</v>
      </c>
      <c r="Y44" s="9"/>
      <c r="Z44" s="9"/>
      <c r="AA44" s="9"/>
      <c r="AB44" s="9"/>
      <c r="AC44" s="9"/>
      <c r="AD44" s="9"/>
      <c r="AE44" s="9"/>
      <c r="AF44" s="9"/>
      <c r="AG44" s="9"/>
      <c r="AH44" s="9"/>
      <c r="AI44" s="9"/>
      <c r="AJ44" s="9"/>
      <c r="AK44" s="9"/>
      <c r="AL44" s="9"/>
      <c r="AM44" s="9"/>
      <c r="AN44" s="9"/>
      <c r="AO44" s="9"/>
      <c r="AP44" s="9"/>
      <c r="AQ44" s="9"/>
      <c r="AR44" s="9"/>
      <c r="AS44" s="9"/>
      <c r="AT44" s="9"/>
      <c r="AU44" s="9"/>
      <c r="AV44" s="9"/>
    </row>
    <row r="45" spans="1:48" x14ac:dyDescent="0.25">
      <c r="A45" s="97" t="s">
        <v>53</v>
      </c>
      <c r="B45" s="108"/>
      <c r="C45" s="53">
        <f t="shared" ref="C45" si="10">C34*C40</f>
        <v>24221.175696</v>
      </c>
      <c r="D45" s="54">
        <f t="shared" ref="D45:V45" si="11">D34*D40</f>
        <v>34451.349162750004</v>
      </c>
      <c r="E45" s="54">
        <f t="shared" si="11"/>
        <v>47610.192912750004</v>
      </c>
      <c r="F45" s="54">
        <f t="shared" si="11"/>
        <v>47610.192912750004</v>
      </c>
      <c r="G45" s="54">
        <f t="shared" si="11"/>
        <v>60769.03666274999</v>
      </c>
      <c r="H45" s="54">
        <f t="shared" si="11"/>
        <v>60769.03666274999</v>
      </c>
      <c r="I45" s="54">
        <f t="shared" si="11"/>
        <v>60769.03666274999</v>
      </c>
      <c r="J45" s="54">
        <f t="shared" si="11"/>
        <v>60769.03666274999</v>
      </c>
      <c r="K45" s="54">
        <f t="shared" si="11"/>
        <v>60769.03666274999</v>
      </c>
      <c r="L45" s="54">
        <f t="shared" si="11"/>
        <v>60769.03666274999</v>
      </c>
      <c r="M45" s="54">
        <f t="shared" si="11"/>
        <v>60769.03666274999</v>
      </c>
      <c r="N45" s="54">
        <f t="shared" si="11"/>
        <v>60769.03666274999</v>
      </c>
      <c r="O45" s="54">
        <f t="shared" si="11"/>
        <v>60769.03666274999</v>
      </c>
      <c r="P45" s="54">
        <f t="shared" si="11"/>
        <v>60769.03666274999</v>
      </c>
      <c r="Q45" s="54">
        <f t="shared" si="11"/>
        <v>60769.03666274999</v>
      </c>
      <c r="R45" s="54">
        <f t="shared" si="11"/>
        <v>60769.03666274999</v>
      </c>
      <c r="S45" s="54">
        <f t="shared" si="11"/>
        <v>60769.03666274999</v>
      </c>
      <c r="T45" s="54">
        <f t="shared" si="11"/>
        <v>60769.03666274999</v>
      </c>
      <c r="U45" s="54">
        <f t="shared" si="11"/>
        <v>60769.03666274999</v>
      </c>
      <c r="V45" s="54">
        <f t="shared" si="11"/>
        <v>60769.03666274999</v>
      </c>
      <c r="W45" s="55">
        <f>SUM(C45:V45)</f>
        <v>1126197.4972882497</v>
      </c>
      <c r="X45" s="107" t="s">
        <v>57</v>
      </c>
      <c r="Y45" s="9"/>
      <c r="Z45" s="9"/>
      <c r="AA45" s="9"/>
      <c r="AB45" s="9"/>
      <c r="AC45" s="9"/>
      <c r="AD45" s="9"/>
      <c r="AE45" s="9"/>
      <c r="AF45" s="9"/>
      <c r="AG45" s="9"/>
      <c r="AH45" s="9"/>
      <c r="AI45" s="9"/>
      <c r="AJ45" s="9"/>
      <c r="AK45" s="9"/>
      <c r="AL45" s="9"/>
      <c r="AM45" s="9"/>
      <c r="AN45" s="9"/>
      <c r="AO45" s="9"/>
      <c r="AP45" s="9"/>
      <c r="AQ45" s="9"/>
      <c r="AR45" s="9"/>
      <c r="AS45" s="9"/>
      <c r="AT45" s="9"/>
      <c r="AU45" s="9"/>
      <c r="AV45" s="9"/>
    </row>
    <row r="46" spans="1:48" x14ac:dyDescent="0.25">
      <c r="A46" s="109" t="s">
        <v>58</v>
      </c>
      <c r="B46" s="65"/>
      <c r="C46" s="63">
        <f t="shared" ref="C46" si="12">SUM(C43:C45)</f>
        <v>92734.03667999999</v>
      </c>
      <c r="D46" s="64">
        <f t="shared" ref="D46:V46" si="13">SUM(D43:D45)</f>
        <v>115346.89002600001</v>
      </c>
      <c r="E46" s="64">
        <f t="shared" si="13"/>
        <v>159404.140026</v>
      </c>
      <c r="F46" s="64">
        <f t="shared" si="13"/>
        <v>159404.140026</v>
      </c>
      <c r="G46" s="64">
        <f t="shared" si="13"/>
        <v>203461.39002599998</v>
      </c>
      <c r="H46" s="64">
        <f t="shared" si="13"/>
        <v>203461.39002599998</v>
      </c>
      <c r="I46" s="64">
        <f t="shared" si="13"/>
        <v>203461.39002599998</v>
      </c>
      <c r="J46" s="64">
        <f t="shared" si="13"/>
        <v>203461.39002599998</v>
      </c>
      <c r="K46" s="64">
        <f t="shared" si="13"/>
        <v>203461.39002599998</v>
      </c>
      <c r="L46" s="64">
        <f t="shared" si="13"/>
        <v>203461.39002599998</v>
      </c>
      <c r="M46" s="64">
        <f t="shared" si="13"/>
        <v>203461.39002599998</v>
      </c>
      <c r="N46" s="64">
        <f t="shared" si="13"/>
        <v>203461.39002599998</v>
      </c>
      <c r="O46" s="64">
        <f t="shared" si="13"/>
        <v>203461.39002599998</v>
      </c>
      <c r="P46" s="64">
        <f t="shared" si="13"/>
        <v>203461.39002599998</v>
      </c>
      <c r="Q46" s="64">
        <f t="shared" si="13"/>
        <v>203461.39002599998</v>
      </c>
      <c r="R46" s="64">
        <f t="shared" si="13"/>
        <v>203461.39002599998</v>
      </c>
      <c r="S46" s="64">
        <f t="shared" si="13"/>
        <v>203461.39002599998</v>
      </c>
      <c r="T46" s="64">
        <f t="shared" si="13"/>
        <v>203461.39002599998</v>
      </c>
      <c r="U46" s="64">
        <f t="shared" si="13"/>
        <v>203461.39002599998</v>
      </c>
      <c r="V46" s="64">
        <f t="shared" si="13"/>
        <v>203461.39002599998</v>
      </c>
      <c r="W46" s="63">
        <f>SUM(W43:W45)</f>
        <v>3782271.4471739996</v>
      </c>
      <c r="X46" s="110"/>
      <c r="Y46" s="111" t="e">
        <f>SUM(#REF!)</f>
        <v>#REF!</v>
      </c>
      <c r="Z46" s="111" t="e">
        <f>NPV(5%,#REF!)</f>
        <v>#REF!</v>
      </c>
      <c r="AA46" s="9"/>
      <c r="AB46" s="9"/>
      <c r="AC46" s="9"/>
      <c r="AD46" s="9"/>
      <c r="AE46" s="9"/>
      <c r="AF46" s="9"/>
      <c r="AG46" s="9"/>
      <c r="AH46" s="9"/>
      <c r="AI46" s="9"/>
      <c r="AJ46" s="9"/>
      <c r="AK46" s="9"/>
      <c r="AL46" s="9"/>
      <c r="AM46" s="9"/>
      <c r="AN46" s="9"/>
      <c r="AO46" s="9"/>
      <c r="AP46" s="9"/>
      <c r="AQ46" s="9"/>
      <c r="AR46" s="9"/>
      <c r="AS46" s="9"/>
      <c r="AT46" s="9"/>
      <c r="AU46" s="9"/>
      <c r="AV46" s="9"/>
    </row>
    <row r="47" spans="1:48" x14ac:dyDescent="0.25">
      <c r="A47" s="47" t="s">
        <v>59</v>
      </c>
      <c r="B47" s="106"/>
      <c r="C47" s="49">
        <v>0</v>
      </c>
      <c r="D47" s="50">
        <v>0</v>
      </c>
      <c r="E47" s="50">
        <v>0</v>
      </c>
      <c r="F47" s="50">
        <v>0</v>
      </c>
      <c r="G47" s="50">
        <v>0</v>
      </c>
      <c r="H47" s="50">
        <v>0</v>
      </c>
      <c r="I47" s="50">
        <v>0</v>
      </c>
      <c r="J47" s="50">
        <v>0</v>
      </c>
      <c r="K47" s="50">
        <v>0</v>
      </c>
      <c r="L47" s="50">
        <v>0</v>
      </c>
      <c r="M47" s="50">
        <v>0</v>
      </c>
      <c r="N47" s="50">
        <v>0</v>
      </c>
      <c r="O47" s="50">
        <v>0</v>
      </c>
      <c r="P47" s="50">
        <v>0</v>
      </c>
      <c r="Q47" s="50">
        <v>0</v>
      </c>
      <c r="R47" s="50">
        <v>0</v>
      </c>
      <c r="S47" s="50">
        <v>0</v>
      </c>
      <c r="T47" s="50">
        <v>0</v>
      </c>
      <c r="U47" s="50">
        <v>0</v>
      </c>
      <c r="V47" s="50">
        <v>0</v>
      </c>
      <c r="W47" s="51">
        <f>SUM(C47:V47)</f>
        <v>0</v>
      </c>
      <c r="X47" s="9"/>
      <c r="Y47" s="111" t="e">
        <f>SUM(#REF!)</f>
        <v>#REF!</v>
      </c>
      <c r="Z47" s="111" t="e">
        <f>NPV(5%,#REF!)</f>
        <v>#REF!</v>
      </c>
      <c r="AA47" s="9"/>
      <c r="AB47" s="9"/>
      <c r="AC47" s="9"/>
      <c r="AD47" s="9"/>
      <c r="AE47" s="9"/>
      <c r="AF47" s="9"/>
      <c r="AG47" s="9"/>
      <c r="AH47" s="9"/>
      <c r="AI47" s="9"/>
      <c r="AJ47" s="9"/>
      <c r="AK47" s="9"/>
      <c r="AL47" s="9"/>
      <c r="AM47" s="9"/>
      <c r="AN47" s="9"/>
      <c r="AO47" s="9"/>
      <c r="AP47" s="9"/>
      <c r="AQ47" s="9"/>
      <c r="AR47" s="9"/>
      <c r="AS47" s="9"/>
      <c r="AT47" s="9"/>
      <c r="AU47" s="9"/>
      <c r="AV47" s="9"/>
    </row>
    <row r="48" spans="1:48" x14ac:dyDescent="0.25">
      <c r="A48" s="47" t="s">
        <v>60</v>
      </c>
      <c r="B48" s="108"/>
      <c r="C48" s="53">
        <v>0</v>
      </c>
      <c r="D48" s="54">
        <f>C48</f>
        <v>0</v>
      </c>
      <c r="E48" s="54">
        <f t="shared" ref="E48:V48" si="14">D48</f>
        <v>0</v>
      </c>
      <c r="F48" s="54">
        <f t="shared" si="14"/>
        <v>0</v>
      </c>
      <c r="G48" s="54">
        <f t="shared" si="14"/>
        <v>0</v>
      </c>
      <c r="H48" s="54">
        <f t="shared" si="14"/>
        <v>0</v>
      </c>
      <c r="I48" s="54">
        <f t="shared" si="14"/>
        <v>0</v>
      </c>
      <c r="J48" s="54">
        <f t="shared" si="14"/>
        <v>0</v>
      </c>
      <c r="K48" s="54">
        <f t="shared" si="14"/>
        <v>0</v>
      </c>
      <c r="L48" s="54">
        <f t="shared" si="14"/>
        <v>0</v>
      </c>
      <c r="M48" s="54">
        <f t="shared" si="14"/>
        <v>0</v>
      </c>
      <c r="N48" s="54">
        <f t="shared" si="14"/>
        <v>0</v>
      </c>
      <c r="O48" s="54">
        <f t="shared" si="14"/>
        <v>0</v>
      </c>
      <c r="P48" s="54">
        <f t="shared" si="14"/>
        <v>0</v>
      </c>
      <c r="Q48" s="54">
        <f t="shared" si="14"/>
        <v>0</v>
      </c>
      <c r="R48" s="54">
        <f t="shared" si="14"/>
        <v>0</v>
      </c>
      <c r="S48" s="54">
        <f t="shared" si="14"/>
        <v>0</v>
      </c>
      <c r="T48" s="54">
        <f t="shared" si="14"/>
        <v>0</v>
      </c>
      <c r="U48" s="54">
        <f t="shared" si="14"/>
        <v>0</v>
      </c>
      <c r="V48" s="54">
        <f t="shared" si="14"/>
        <v>0</v>
      </c>
      <c r="W48" s="55">
        <f>SUM(C48:V48)</f>
        <v>0</v>
      </c>
      <c r="X48" s="112"/>
      <c r="Y48" s="111" t="e">
        <f>SUM(#REF!)</f>
        <v>#REF!</v>
      </c>
      <c r="Z48" s="111" t="e">
        <f>NPV(5%,#REF!)</f>
        <v>#REF!</v>
      </c>
      <c r="AA48" s="9"/>
      <c r="AB48" s="9"/>
      <c r="AC48" s="9"/>
      <c r="AD48" s="9"/>
      <c r="AE48" s="9"/>
      <c r="AF48" s="9"/>
      <c r="AG48" s="9"/>
      <c r="AH48" s="9"/>
      <c r="AI48" s="9"/>
      <c r="AJ48" s="9"/>
      <c r="AK48" s="9"/>
      <c r="AL48" s="9"/>
      <c r="AM48" s="9"/>
      <c r="AN48" s="9"/>
      <c r="AO48" s="9"/>
      <c r="AP48" s="9"/>
      <c r="AQ48" s="9"/>
      <c r="AR48" s="9"/>
      <c r="AS48" s="9"/>
      <c r="AT48" s="9"/>
      <c r="AU48" s="9"/>
      <c r="AV48" s="9"/>
    </row>
    <row r="49" spans="1:48" x14ac:dyDescent="0.25">
      <c r="A49" s="47" t="s">
        <v>61</v>
      </c>
      <c r="B49" s="108"/>
      <c r="C49" s="53">
        <f>C46</f>
        <v>92734.03667999999</v>
      </c>
      <c r="D49" s="54">
        <f>D46</f>
        <v>115346.89002600001</v>
      </c>
      <c r="E49" s="54">
        <f t="shared" ref="E49:V49" si="15">E46</f>
        <v>159404.140026</v>
      </c>
      <c r="F49" s="54">
        <f t="shared" si="15"/>
        <v>159404.140026</v>
      </c>
      <c r="G49" s="54">
        <f t="shared" si="15"/>
        <v>203461.39002599998</v>
      </c>
      <c r="H49" s="54">
        <f t="shared" si="15"/>
        <v>203461.39002599998</v>
      </c>
      <c r="I49" s="54">
        <f t="shared" si="15"/>
        <v>203461.39002599998</v>
      </c>
      <c r="J49" s="54">
        <f t="shared" si="15"/>
        <v>203461.39002599998</v>
      </c>
      <c r="K49" s="54">
        <f t="shared" si="15"/>
        <v>203461.39002599998</v>
      </c>
      <c r="L49" s="54">
        <f t="shared" si="15"/>
        <v>203461.39002599998</v>
      </c>
      <c r="M49" s="54">
        <f t="shared" si="15"/>
        <v>203461.39002599998</v>
      </c>
      <c r="N49" s="54">
        <f t="shared" si="15"/>
        <v>203461.39002599998</v>
      </c>
      <c r="O49" s="54">
        <f t="shared" si="15"/>
        <v>203461.39002599998</v>
      </c>
      <c r="P49" s="54">
        <f t="shared" si="15"/>
        <v>203461.39002599998</v>
      </c>
      <c r="Q49" s="54">
        <f t="shared" si="15"/>
        <v>203461.39002599998</v>
      </c>
      <c r="R49" s="54">
        <f t="shared" si="15"/>
        <v>203461.39002599998</v>
      </c>
      <c r="S49" s="54">
        <f t="shared" si="15"/>
        <v>203461.39002599998</v>
      </c>
      <c r="T49" s="54">
        <f t="shared" si="15"/>
        <v>203461.39002599998</v>
      </c>
      <c r="U49" s="54">
        <f t="shared" si="15"/>
        <v>203461.39002599998</v>
      </c>
      <c r="V49" s="54">
        <f t="shared" si="15"/>
        <v>203461.39002599998</v>
      </c>
      <c r="W49" s="55">
        <f>SUM(C49:V49)</f>
        <v>3782271.447173998</v>
      </c>
      <c r="X49" s="110"/>
      <c r="Y49" s="111" t="e">
        <f>SUM(#REF!)</f>
        <v>#REF!</v>
      </c>
      <c r="Z49" s="111" t="e">
        <f>NPV(5%,#REF!)</f>
        <v>#REF!</v>
      </c>
      <c r="AA49" s="9"/>
      <c r="AB49" s="9"/>
      <c r="AC49" s="9"/>
      <c r="AD49" s="9"/>
      <c r="AE49" s="9"/>
      <c r="AF49" s="9"/>
      <c r="AG49" s="9"/>
      <c r="AH49" s="9"/>
      <c r="AI49" s="9"/>
      <c r="AJ49" s="9"/>
      <c r="AK49" s="9"/>
      <c r="AL49" s="9"/>
      <c r="AM49" s="9"/>
      <c r="AN49" s="9"/>
      <c r="AO49" s="9"/>
      <c r="AP49" s="9"/>
      <c r="AQ49" s="9"/>
      <c r="AR49" s="9"/>
      <c r="AS49" s="9"/>
      <c r="AT49" s="9"/>
      <c r="AU49" s="9"/>
      <c r="AV49" s="9"/>
    </row>
    <row r="50" spans="1:48" x14ac:dyDescent="0.25">
      <c r="A50" s="113" t="s">
        <v>62</v>
      </c>
      <c r="B50" s="108">
        <v>1250000</v>
      </c>
      <c r="C50" s="53">
        <v>1250000</v>
      </c>
      <c r="D50" s="54">
        <v>1250000</v>
      </c>
      <c r="E50" s="54">
        <v>1250000</v>
      </c>
      <c r="F50" s="54">
        <v>1250000</v>
      </c>
      <c r="G50" s="54">
        <v>1250000</v>
      </c>
      <c r="H50" s="54">
        <v>1250000</v>
      </c>
      <c r="I50" s="54">
        <v>1250000</v>
      </c>
      <c r="J50" s="54">
        <v>1250000</v>
      </c>
      <c r="K50" s="54">
        <v>1250000</v>
      </c>
      <c r="L50" s="54">
        <v>1250000</v>
      </c>
      <c r="M50" s="54">
        <v>1250000</v>
      </c>
      <c r="N50" s="54">
        <v>1250000</v>
      </c>
      <c r="O50" s="54">
        <v>1250000</v>
      </c>
      <c r="P50" s="54">
        <v>1250000</v>
      </c>
      <c r="Q50" s="54">
        <v>1250000</v>
      </c>
      <c r="R50" s="54">
        <v>1250000</v>
      </c>
      <c r="S50" s="54">
        <v>1250000</v>
      </c>
      <c r="T50" s="54">
        <v>1250000</v>
      </c>
      <c r="U50" s="54">
        <v>1250000</v>
      </c>
      <c r="V50" s="54">
        <v>1250000</v>
      </c>
      <c r="W50" s="55">
        <f>SUM(C50:V50)</f>
        <v>2250000</v>
      </c>
      <c r="X50" s="110"/>
      <c r="Y50" s="111"/>
      <c r="Z50" s="111"/>
      <c r="AA50" s="9"/>
      <c r="AB50" s="9"/>
      <c r="AC50" s="9"/>
      <c r="AD50" s="9"/>
      <c r="AE50" s="9"/>
      <c r="AF50" s="9"/>
      <c r="AG50" s="9"/>
      <c r="AH50" s="9"/>
      <c r="AI50" s="9"/>
      <c r="AJ50" s="9"/>
      <c r="AK50" s="9"/>
      <c r="AL50" s="9"/>
      <c r="AM50" s="9"/>
      <c r="AN50" s="9"/>
      <c r="AO50" s="9"/>
      <c r="AP50" s="9"/>
      <c r="AQ50" s="9"/>
      <c r="AR50" s="9"/>
      <c r="AS50" s="9"/>
      <c r="AT50" s="9"/>
      <c r="AU50" s="9"/>
      <c r="AV50" s="9"/>
    </row>
    <row r="51" spans="1:48" x14ac:dyDescent="0.25">
      <c r="A51" s="109" t="s">
        <v>63</v>
      </c>
      <c r="B51" s="65"/>
      <c r="C51" s="63">
        <f>C47+C49+C50</f>
        <v>242734.03668</v>
      </c>
      <c r="D51" s="64">
        <f t="shared" ref="D51:V51" si="16">D47+D49+D50</f>
        <v>265346.890026</v>
      </c>
      <c r="E51" s="114">
        <f t="shared" si="16"/>
        <v>309404.140026</v>
      </c>
      <c r="F51" s="114">
        <f t="shared" si="16"/>
        <v>309404.140026</v>
      </c>
      <c r="G51" s="114">
        <f t="shared" si="16"/>
        <v>353461.390026</v>
      </c>
      <c r="H51" s="114">
        <f t="shared" si="16"/>
        <v>353461.390026</v>
      </c>
      <c r="I51" s="114">
        <f t="shared" si="16"/>
        <v>353461.390026</v>
      </c>
      <c r="J51" s="114">
        <f t="shared" si="16"/>
        <v>353461.390026</v>
      </c>
      <c r="K51" s="114">
        <f t="shared" si="16"/>
        <v>353461.390026</v>
      </c>
      <c r="L51" s="114">
        <f t="shared" si="16"/>
        <v>353461.390026</v>
      </c>
      <c r="M51" s="114">
        <f t="shared" si="16"/>
        <v>353461.390026</v>
      </c>
      <c r="N51" s="114">
        <f t="shared" si="16"/>
        <v>353461.390026</v>
      </c>
      <c r="O51" s="114">
        <f t="shared" si="16"/>
        <v>353461.390026</v>
      </c>
      <c r="P51" s="114">
        <f t="shared" si="16"/>
        <v>353461.390026</v>
      </c>
      <c r="Q51" s="114">
        <f t="shared" si="16"/>
        <v>353461.390026</v>
      </c>
      <c r="R51" s="114">
        <f t="shared" si="16"/>
        <v>203461.39002599998</v>
      </c>
      <c r="S51" s="114">
        <f t="shared" si="16"/>
        <v>203461.39002599998</v>
      </c>
      <c r="T51" s="114">
        <f t="shared" si="16"/>
        <v>203461.39002599998</v>
      </c>
      <c r="U51" s="114">
        <f t="shared" si="16"/>
        <v>203461.39002599998</v>
      </c>
      <c r="V51" s="114">
        <f t="shared" si="16"/>
        <v>203461.39002599998</v>
      </c>
      <c r="W51" s="63">
        <f>SUM(W47:W50)</f>
        <v>6032271.447173998</v>
      </c>
      <c r="X51" s="9"/>
      <c r="Y51" s="111" t="e">
        <f>SUM(#REF!)</f>
        <v>#REF!</v>
      </c>
      <c r="Z51" s="111" t="e">
        <f>NPV(5%,#REF!)</f>
        <v>#REF!</v>
      </c>
      <c r="AA51" s="9"/>
      <c r="AB51" s="9"/>
      <c r="AC51" s="9"/>
      <c r="AD51" s="9"/>
      <c r="AE51" s="9"/>
      <c r="AF51" s="9"/>
      <c r="AG51" s="9"/>
      <c r="AH51" s="9"/>
      <c r="AI51" s="9"/>
      <c r="AJ51" s="9"/>
      <c r="AK51" s="9"/>
      <c r="AL51" s="9"/>
      <c r="AM51" s="9"/>
      <c r="AN51" s="9"/>
      <c r="AO51" s="9"/>
      <c r="AP51" s="9"/>
      <c r="AQ51" s="9"/>
      <c r="AR51" s="9"/>
      <c r="AS51" s="9"/>
      <c r="AT51" s="9"/>
      <c r="AU51" s="9"/>
      <c r="AV51" s="9"/>
    </row>
    <row r="52" ht="18" customHeight="1" hidden="1" spans="1:48" x14ac:dyDescent="0.25">
      <c r="A52" s="70"/>
      <c r="B52" s="70"/>
      <c r="C52" s="103" t="s">
        <v>64</v>
      </c>
      <c r="D52" s="104"/>
      <c r="E52" s="104"/>
      <c r="F52" s="104"/>
      <c r="G52" s="104"/>
      <c r="H52" s="104"/>
      <c r="I52" s="104"/>
      <c r="J52" s="104"/>
      <c r="K52" s="104"/>
      <c r="L52" s="104"/>
      <c r="M52" s="104"/>
      <c r="N52" s="104"/>
      <c r="O52" s="104"/>
      <c r="P52" s="104"/>
      <c r="Q52" s="104"/>
      <c r="R52" s="104"/>
      <c r="S52" s="70"/>
      <c r="T52" s="70"/>
      <c r="U52" s="70"/>
      <c r="V52" s="70"/>
      <c r="W52" s="70">
        <f>SUM(U52:U52)</f>
        <v>0</v>
      </c>
      <c r="X52" s="9"/>
      <c r="Y52" s="111"/>
      <c r="Z52" s="111"/>
      <c r="AA52" s="9"/>
      <c r="AB52" s="9"/>
      <c r="AC52" s="9"/>
      <c r="AD52" s="9"/>
      <c r="AE52" s="9"/>
      <c r="AF52" s="9"/>
      <c r="AG52" s="9"/>
      <c r="AH52" s="9"/>
      <c r="AI52" s="9"/>
      <c r="AJ52" s="9"/>
      <c r="AK52" s="9"/>
      <c r="AL52" s="9"/>
      <c r="AM52" s="115" t="s">
        <v>65</v>
      </c>
      <c r="AN52" s="115"/>
      <c r="AO52" s="115"/>
      <c r="AP52" s="9"/>
      <c r="AQ52" s="9"/>
      <c r="AR52" s="9"/>
      <c r="AS52" s="9"/>
      <c r="AT52" s="9"/>
      <c r="AU52" s="9"/>
      <c r="AV52" s="9"/>
    </row>
    <row r="53" ht="17.5" customHeight="1" spans="1:48" x14ac:dyDescent="0.25">
      <c r="A53" s="86"/>
      <c r="B53" s="86"/>
      <c r="C53" s="116" t="s">
        <v>66</v>
      </c>
      <c r="D53" s="117"/>
      <c r="E53" s="117"/>
      <c r="F53" s="117"/>
      <c r="G53" s="117"/>
      <c r="H53" s="117"/>
      <c r="I53" s="117"/>
      <c r="J53" s="117"/>
      <c r="K53" s="117"/>
      <c r="L53" s="117"/>
      <c r="M53" s="117"/>
      <c r="N53" s="117"/>
      <c r="O53" s="117"/>
      <c r="P53" s="117"/>
      <c r="Q53" s="117"/>
      <c r="R53" s="117"/>
      <c r="S53" s="86"/>
      <c r="T53" s="86"/>
      <c r="U53" s="86"/>
      <c r="V53" s="86"/>
      <c r="W53" s="86"/>
      <c r="X53" s="9"/>
      <c r="Y53" s="111"/>
      <c r="Z53" s="111"/>
      <c r="AA53" s="9"/>
      <c r="AB53" s="9"/>
      <c r="AC53" s="9"/>
      <c r="AD53" s="9"/>
      <c r="AE53" s="9"/>
      <c r="AF53" s="9"/>
      <c r="AG53" s="9"/>
      <c r="AH53" s="9"/>
      <c r="AI53" s="9"/>
      <c r="AJ53" s="9"/>
      <c r="AK53" s="9"/>
      <c r="AL53" s="9"/>
      <c r="AM53" s="118"/>
      <c r="AN53" s="118"/>
      <c r="AO53" s="118"/>
      <c r="AP53" s="9"/>
      <c r="AQ53" s="9"/>
      <c r="AR53" s="9"/>
      <c r="AS53" s="9"/>
      <c r="AT53" s="9"/>
      <c r="AU53" s="9"/>
      <c r="AV53" s="9"/>
    </row>
    <row r="54" ht="18" customHeight="1" spans="1:40" s="38" customFormat="1" x14ac:dyDescent="0.25">
      <c r="A54" s="39" t="s">
        <v>67</v>
      </c>
      <c r="B54" s="39"/>
      <c r="C54" s="42" t="s">
        <v>68</v>
      </c>
      <c r="D54" s="41"/>
      <c r="E54" s="39"/>
      <c r="F54" s="39"/>
      <c r="G54" s="39"/>
      <c r="H54" s="39"/>
      <c r="I54" s="39"/>
      <c r="J54" s="39"/>
      <c r="K54" s="39"/>
      <c r="L54" s="39"/>
      <c r="M54" s="39"/>
      <c r="N54" s="39"/>
      <c r="O54" s="39"/>
      <c r="P54" s="39"/>
      <c r="Q54" s="39"/>
      <c r="R54" s="39"/>
      <c r="S54" s="39"/>
      <c r="T54" s="39"/>
      <c r="U54" s="39"/>
      <c r="V54" s="39"/>
      <c r="W54" s="42"/>
      <c r="AM54" s="38" t="s">
        <v>69</v>
      </c>
      <c r="AN54" s="38" t="s">
        <v>70</v>
      </c>
    </row>
    <row r="55" ht="16.5" customHeight="1" hidden="1" spans="1:48" x14ac:dyDescent="0.25">
      <c r="A55" s="119"/>
      <c r="B55" s="120"/>
      <c r="C55" s="121"/>
      <c r="D55" s="120"/>
      <c r="E55" s="120"/>
      <c r="F55" s="120"/>
      <c r="G55" s="120"/>
      <c r="H55" s="120"/>
      <c r="I55" s="120"/>
      <c r="J55" s="120"/>
      <c r="K55" s="120"/>
      <c r="L55" s="120"/>
      <c r="M55" s="120"/>
      <c r="N55" s="120"/>
      <c r="O55" s="120"/>
      <c r="P55" s="120"/>
      <c r="Q55" s="120"/>
      <c r="R55" s="120"/>
      <c r="S55" s="120"/>
      <c r="T55" s="120"/>
      <c r="U55" s="120"/>
      <c r="V55" s="120"/>
      <c r="W55" s="122"/>
      <c r="X55" s="9"/>
      <c r="Y55" s="111"/>
      <c r="Z55" s="111"/>
      <c r="AA55" s="9"/>
      <c r="AB55" s="9"/>
      <c r="AC55" s="9"/>
      <c r="AD55" s="9"/>
      <c r="AE55" s="9"/>
      <c r="AF55" s="9"/>
      <c r="AG55" s="9"/>
      <c r="AH55" s="9"/>
      <c r="AI55" s="9"/>
      <c r="AJ55" s="9"/>
      <c r="AK55" s="9"/>
      <c r="AL55" s="9"/>
      <c r="AM55" s="123"/>
      <c r="AN55" s="124" t="s">
        <v>71</v>
      </c>
      <c r="AO55" s="125"/>
      <c r="AP55" s="9"/>
      <c r="AQ55" s="9"/>
      <c r="AR55" s="9"/>
      <c r="AS55" s="9"/>
      <c r="AT55" s="9"/>
      <c r="AU55" s="9"/>
      <c r="AV55" s="9"/>
    </row>
    <row r="56" ht="15" customHeight="1" spans="1:48" x14ac:dyDescent="0.25">
      <c r="A56" s="43" t="s">
        <v>72</v>
      </c>
      <c r="B56" s="44"/>
      <c r="C56" s="43" t="s">
        <v>73</v>
      </c>
      <c r="D56" s="44"/>
      <c r="E56" s="44"/>
      <c r="F56" s="44"/>
      <c r="G56" s="44"/>
      <c r="H56" s="44"/>
      <c r="I56" s="44"/>
      <c r="J56" s="44"/>
      <c r="K56" s="44"/>
      <c r="L56" s="44"/>
      <c r="M56" s="44"/>
      <c r="N56" s="44"/>
      <c r="O56" s="44"/>
      <c r="P56" s="44"/>
      <c r="Q56" s="44"/>
      <c r="R56" s="44"/>
      <c r="S56" s="44"/>
      <c r="T56" s="44"/>
      <c r="U56" s="44"/>
      <c r="V56" s="44"/>
      <c r="W56" s="43"/>
      <c r="X56" s="9"/>
      <c r="Y56" s="111"/>
      <c r="Z56" s="111"/>
      <c r="AA56" s="9"/>
      <c r="AB56" s="9"/>
      <c r="AC56" s="9"/>
      <c r="AD56" s="9"/>
      <c r="AE56" s="9"/>
      <c r="AF56" s="9"/>
      <c r="AG56" s="9"/>
      <c r="AH56" s="9"/>
      <c r="AI56" s="9"/>
      <c r="AJ56" s="9"/>
      <c r="AK56" s="9"/>
      <c r="AL56" s="9"/>
      <c r="AM56" s="126" t="s">
        <v>74</v>
      </c>
      <c r="AN56" s="127" t="s">
        <v>75</v>
      </c>
      <c r="AO56" s="125"/>
      <c r="AP56" s="9"/>
      <c r="AQ56" s="9"/>
      <c r="AR56" s="9"/>
      <c r="AS56" s="9"/>
      <c r="AT56" s="9"/>
      <c r="AU56" s="9"/>
      <c r="AV56" s="9"/>
    </row>
    <row r="57" ht="15" customHeight="1" spans="1:48" x14ac:dyDescent="0.25">
      <c r="A57" s="47" t="s">
        <v>76</v>
      </c>
      <c r="B57" s="106"/>
      <c r="C57" s="49" t="s">
        <v>77</v>
      </c>
      <c r="D57" s="50">
        <f>D49*0.05</f>
        <v>5767.344501300001</v>
      </c>
      <c r="E57" s="50">
        <f t="shared" ref="E57:V57" si="17">E49*0.05</f>
        <v>7970.207001300001</v>
      </c>
      <c r="F57" s="50">
        <f t="shared" si="17"/>
        <v>7970.207001300001</v>
      </c>
      <c r="G57" s="50">
        <f t="shared" si="17"/>
        <v>10173.0695013</v>
      </c>
      <c r="H57" s="50">
        <f>H49*0.05</f>
        <v>10173.0695013</v>
      </c>
      <c r="I57" s="50">
        <f t="shared" si="17"/>
        <v>10173.0695013</v>
      </c>
      <c r="J57" s="50">
        <f t="shared" si="17"/>
        <v>10173.0695013</v>
      </c>
      <c r="K57" s="50">
        <f t="shared" si="17"/>
        <v>10173.0695013</v>
      </c>
      <c r="L57" s="50">
        <f t="shared" si="17"/>
        <v>10173.0695013</v>
      </c>
      <c r="M57" s="50">
        <f t="shared" si="17"/>
        <v>10173.0695013</v>
      </c>
      <c r="N57" s="50">
        <f t="shared" si="17"/>
        <v>10173.0695013</v>
      </c>
      <c r="O57" s="50">
        <f t="shared" si="17"/>
        <v>10173.0695013</v>
      </c>
      <c r="P57" s="50">
        <f t="shared" si="17"/>
        <v>10173.0695013</v>
      </c>
      <c r="Q57" s="50">
        <f t="shared" si="17"/>
        <v>10173.0695013</v>
      </c>
      <c r="R57" s="50">
        <f t="shared" si="17"/>
        <v>10173.0695013</v>
      </c>
      <c r="S57" s="50">
        <f t="shared" si="17"/>
        <v>10173.0695013</v>
      </c>
      <c r="T57" s="50">
        <f t="shared" si="17"/>
        <v>10173.0695013</v>
      </c>
      <c r="U57" s="50">
        <f t="shared" si="17"/>
        <v>10173.0695013</v>
      </c>
      <c r="V57" s="50">
        <f t="shared" si="17"/>
        <v>10173.0695013</v>
      </c>
      <c r="W57" s="51">
        <f>SUM(C57:V57)</f>
        <v>189113.57235869992</v>
      </c>
      <c r="X57" s="9"/>
      <c r="Y57" s="111" t="e">
        <f>SUM(#REF!)</f>
        <v>#REF!</v>
      </c>
      <c r="Z57" s="111" t="e">
        <f>NPV(5%,#REF!)</f>
        <v>#REF!</v>
      </c>
      <c r="AA57" s="9"/>
      <c r="AB57" s="9"/>
      <c r="AC57" s="9"/>
      <c r="AD57" s="9"/>
      <c r="AE57" s="9"/>
      <c r="AF57" s="9"/>
      <c r="AG57" s="9"/>
      <c r="AH57" s="9"/>
      <c r="AI57" s="9"/>
      <c r="AJ57" s="9"/>
      <c r="AK57" s="9"/>
      <c r="AL57" s="9"/>
      <c r="AM57" s="128"/>
      <c r="AN57" s="129"/>
      <c r="AO57" s="125"/>
      <c r="AP57" s="9"/>
      <c r="AQ57" s="9"/>
      <c r="AR57" s="9"/>
      <c r="AS57" s="9"/>
      <c r="AT57" s="9"/>
      <c r="AU57" s="9"/>
      <c r="AV57" s="9"/>
    </row>
    <row r="58" ht="17" customHeight="1" hidden="1" spans="1:48" x14ac:dyDescent="0.25">
      <c r="A58" s="130" t="s">
        <v>78</v>
      </c>
      <c r="B58" s="108">
        <v>150000</v>
      </c>
      <c r="C58" s="131">
        <v>150000</v>
      </c>
      <c r="D58" s="132">
        <v>150000</v>
      </c>
      <c r="E58" s="132">
        <v>150000</v>
      </c>
      <c r="F58" s="132">
        <v>150000</v>
      </c>
      <c r="G58" s="132">
        <v>150000</v>
      </c>
      <c r="H58" s="132">
        <v>150000</v>
      </c>
      <c r="I58" s="132">
        <v>150000</v>
      </c>
      <c r="J58" s="132">
        <v>150000</v>
      </c>
      <c r="K58" s="132">
        <v>150000</v>
      </c>
      <c r="L58" s="132">
        <v>150000</v>
      </c>
      <c r="M58" s="132">
        <v>150000</v>
      </c>
      <c r="N58" s="132">
        <v>150000</v>
      </c>
      <c r="O58" s="132">
        <v>150000</v>
      </c>
      <c r="P58" s="132">
        <v>150000</v>
      </c>
      <c r="Q58" s="132">
        <v>150000</v>
      </c>
      <c r="R58" s="132">
        <v>150000</v>
      </c>
      <c r="S58" s="132">
        <v>150000</v>
      </c>
      <c r="T58" s="132">
        <v>150000</v>
      </c>
      <c r="U58" s="132">
        <v>150000</v>
      </c>
      <c r="V58" s="132">
        <v>150000</v>
      </c>
      <c r="W58" s="133">
        <f>SUM(C58:V58)</f>
        <v>0</v>
      </c>
      <c r="X58" s="9"/>
      <c r="Y58" s="111" t="e">
        <f>SUM(#REF!)</f>
        <v>#REF!</v>
      </c>
      <c r="Z58" s="111" t="e">
        <f>NPV(5%,#REF!)</f>
        <v>#REF!</v>
      </c>
      <c r="AA58" s="9"/>
      <c r="AB58" s="9"/>
      <c r="AC58" s="9"/>
      <c r="AD58" s="9"/>
      <c r="AE58" s="9"/>
      <c r="AF58" s="9"/>
      <c r="AG58" s="9"/>
      <c r="AH58" s="9"/>
      <c r="AI58" s="9"/>
      <c r="AJ58" s="9"/>
      <c r="AK58" s="9"/>
      <c r="AL58" s="9"/>
      <c r="AM58" s="134">
        <v>3150000</v>
      </c>
      <c r="AN58" s="135">
        <v>3150000</v>
      </c>
      <c r="AO58" s="125"/>
      <c r="AP58" s="9"/>
      <c r="AQ58" s="9"/>
      <c r="AR58" s="9"/>
      <c r="AS58" s="9"/>
      <c r="AT58" s="9"/>
      <c r="AU58" s="9"/>
      <c r="AV58" s="9"/>
    </row>
    <row r="59" ht="15" customHeight="1" spans="1:48" x14ac:dyDescent="0.25">
      <c r="A59" s="47" t="s">
        <v>79</v>
      </c>
      <c r="B59" s="108">
        <v>150000</v>
      </c>
      <c r="C59" s="53">
        <v>150000</v>
      </c>
      <c r="D59" s="54">
        <v>150000</v>
      </c>
      <c r="E59" s="54">
        <v>150000</v>
      </c>
      <c r="F59" s="54">
        <v>150000</v>
      </c>
      <c r="G59" s="54">
        <v>150000</v>
      </c>
      <c r="H59" s="54">
        <v>150000</v>
      </c>
      <c r="I59" s="54">
        <v>150000</v>
      </c>
      <c r="J59" s="54">
        <v>150000</v>
      </c>
      <c r="K59" s="54">
        <v>150000</v>
      </c>
      <c r="L59" s="54">
        <v>150000</v>
      </c>
      <c r="M59" s="54">
        <v>150000</v>
      </c>
      <c r="N59" s="54">
        <v>150000</v>
      </c>
      <c r="O59" s="54">
        <v>150000</v>
      </c>
      <c r="P59" s="54">
        <v>150000</v>
      </c>
      <c r="Q59" s="54">
        <v>0</v>
      </c>
      <c r="R59" s="54">
        <v>0</v>
      </c>
      <c r="S59" s="54">
        <v>0</v>
      </c>
      <c r="T59" s="54">
        <v>0</v>
      </c>
      <c r="U59" s="54">
        <v>0</v>
      </c>
      <c r="V59" s="54">
        <v>0</v>
      </c>
      <c r="W59" s="55">
        <v>2250000</v>
      </c>
      <c r="X59" s="107" t="s">
        <v>80</v>
      </c>
      <c r="Y59" s="111"/>
      <c r="Z59" s="111"/>
      <c r="AA59" s="9"/>
      <c r="AB59" s="9"/>
      <c r="AC59" s="9"/>
      <c r="AD59" s="9"/>
      <c r="AE59" s="9"/>
      <c r="AF59" s="9"/>
      <c r="AG59" s="9"/>
      <c r="AH59" s="9"/>
      <c r="AI59" s="9"/>
      <c r="AJ59" s="9"/>
      <c r="AK59" s="9"/>
      <c r="AL59" s="9"/>
      <c r="AM59" s="134"/>
      <c r="AN59" s="135"/>
      <c r="AO59" s="125"/>
      <c r="AP59" s="9"/>
      <c r="AQ59" s="9"/>
      <c r="AR59" s="9"/>
      <c r="AS59" s="9"/>
      <c r="AT59" s="9"/>
      <c r="AU59" s="9"/>
      <c r="AV59" s="9"/>
    </row>
    <row r="60" ht="15" customHeight="1" spans="1:48" x14ac:dyDescent="0.25">
      <c r="A60" s="47" t="s">
        <v>81</v>
      </c>
      <c r="B60" s="108"/>
      <c r="C60" s="53">
        <f>C49*0.95</f>
        <v>88097.33484599998</v>
      </c>
      <c r="D60" s="54">
        <f>D49*0.95</f>
        <v>109579.5455247</v>
      </c>
      <c r="E60" s="54">
        <f t="shared" ref="E60:V60" si="18">E49*0.95</f>
        <v>151433.9330247</v>
      </c>
      <c r="F60" s="54">
        <f t="shared" si="18"/>
        <v>151433.9330247</v>
      </c>
      <c r="G60" s="54">
        <f t="shared" si="18"/>
        <v>193288.32052469996</v>
      </c>
      <c r="H60" s="54">
        <f>H49*0.95</f>
        <v>193288.32052469996</v>
      </c>
      <c r="I60" s="54">
        <f>I49*0.95</f>
        <v>193288.32052469996</v>
      </c>
      <c r="J60" s="54">
        <f t="shared" si="18"/>
        <v>193288.32052469996</v>
      </c>
      <c r="K60" s="54">
        <f t="shared" si="18"/>
        <v>193288.32052469996</v>
      </c>
      <c r="L60" s="54">
        <f>L49*0.95</f>
        <v>193288.32052469996</v>
      </c>
      <c r="M60" s="54">
        <f t="shared" si="18"/>
        <v>193288.32052469996</v>
      </c>
      <c r="N60" s="54">
        <f t="shared" si="18"/>
        <v>193288.32052469996</v>
      </c>
      <c r="O60" s="54">
        <f t="shared" si="18"/>
        <v>193288.32052469996</v>
      </c>
      <c r="P60" s="54">
        <f t="shared" si="18"/>
        <v>193288.32052469996</v>
      </c>
      <c r="Q60" s="54">
        <f t="shared" si="18"/>
        <v>193288.32052469996</v>
      </c>
      <c r="R60" s="54">
        <f t="shared" si="18"/>
        <v>193288.32052469996</v>
      </c>
      <c r="S60" s="54">
        <f t="shared" si="18"/>
        <v>193288.32052469996</v>
      </c>
      <c r="T60" s="54">
        <f t="shared" si="18"/>
        <v>193288.32052469996</v>
      </c>
      <c r="U60" s="54">
        <f t="shared" si="18"/>
        <v>193288.32052469996</v>
      </c>
      <c r="V60" s="54">
        <f t="shared" si="18"/>
        <v>193288.32052469996</v>
      </c>
      <c r="W60" s="55">
        <f>SUM(C60:V60)</f>
        <v>3593157.8748152996</v>
      </c>
      <c r="X60" s="107" t="s">
        <v>82</v>
      </c>
      <c r="Y60" s="111" t="e">
        <f>SUM(#REF!)</f>
        <v>#REF!</v>
      </c>
      <c r="Z60" s="111" t="e">
        <f>NPV(5%,#REF!)</f>
        <v>#REF!</v>
      </c>
      <c r="AA60" s="9"/>
      <c r="AB60" s="9"/>
      <c r="AC60" s="9"/>
      <c r="AD60" s="9"/>
      <c r="AE60" s="9"/>
      <c r="AF60" s="9"/>
      <c r="AG60" s="9"/>
      <c r="AH60" s="9"/>
      <c r="AI60" s="9"/>
      <c r="AJ60" s="9"/>
      <c r="AK60" s="9"/>
      <c r="AL60" s="9"/>
      <c r="AM60" s="136"/>
      <c r="AN60" s="129"/>
      <c r="AO60" s="125"/>
      <c r="AP60" s="9"/>
      <c r="AQ60" s="9"/>
      <c r="AR60" s="9"/>
      <c r="AS60" s="9"/>
      <c r="AT60" s="9"/>
      <c r="AU60" s="9"/>
      <c r="AV60" s="9"/>
    </row>
    <row r="61" ht="15" customHeight="1" spans="1:48" x14ac:dyDescent="0.25">
      <c r="A61" s="109" t="s">
        <v>83</v>
      </c>
      <c r="B61" s="65"/>
      <c r="C61" s="63">
        <f>SUM(C57:C60)</f>
        <v>242734.03668</v>
      </c>
      <c r="D61" s="64">
        <f>SUM(D57:D60)</f>
        <v>265346.890026</v>
      </c>
      <c r="E61" s="65">
        <f t="shared" ref="E61:V61" si="19">SUM(E57:E60)</f>
        <v>309404.140026</v>
      </c>
      <c r="F61" s="65">
        <f t="shared" si="19"/>
        <v>309404.140026</v>
      </c>
      <c r="G61" s="65">
        <f t="shared" si="19"/>
        <v>353461.390026</v>
      </c>
      <c r="H61" s="65">
        <f t="shared" si="19"/>
        <v>353461.390026</v>
      </c>
      <c r="I61" s="65">
        <f t="shared" si="19"/>
        <v>353461.390026</v>
      </c>
      <c r="J61" s="65">
        <f t="shared" si="19"/>
        <v>353461.390026</v>
      </c>
      <c r="K61" s="65">
        <f t="shared" si="19"/>
        <v>353461.390026</v>
      </c>
      <c r="L61" s="65">
        <f t="shared" si="19"/>
        <v>353461.390026</v>
      </c>
      <c r="M61" s="65">
        <f t="shared" si="19"/>
        <v>353461.390026</v>
      </c>
      <c r="N61" s="65">
        <f t="shared" si="19"/>
        <v>353461.390026</v>
      </c>
      <c r="O61" s="65">
        <f t="shared" si="19"/>
        <v>353461.390026</v>
      </c>
      <c r="P61" s="65">
        <f t="shared" si="19"/>
        <v>353461.390026</v>
      </c>
      <c r="Q61" s="65">
        <f t="shared" si="19"/>
        <v>353461.390026</v>
      </c>
      <c r="R61" s="65">
        <f t="shared" si="19"/>
        <v>203461.39002599995</v>
      </c>
      <c r="S61" s="65">
        <f t="shared" si="19"/>
        <v>203461.39002599995</v>
      </c>
      <c r="T61" s="65">
        <f t="shared" si="19"/>
        <v>203461.39002599995</v>
      </c>
      <c r="U61" s="65">
        <f t="shared" si="19"/>
        <v>203461.39002599995</v>
      </c>
      <c r="V61" s="65">
        <f t="shared" si="19"/>
        <v>203461.39002599995</v>
      </c>
      <c r="W61" s="63">
        <f>SUM(W57:W60)</f>
        <v>6032271.447174</v>
      </c>
      <c r="X61" s="107" t="s">
        <v>84</v>
      </c>
      <c r="Y61" s="111" t="e">
        <f>SUM(#REF!)</f>
        <v>#REF!</v>
      </c>
      <c r="Z61" s="111" t="e">
        <f>NPV(5%,#REF!)</f>
        <v>#REF!</v>
      </c>
      <c r="AA61" s="9"/>
      <c r="AB61" s="9"/>
      <c r="AC61" s="9"/>
      <c r="AD61" s="9"/>
      <c r="AE61" s="9"/>
      <c r="AF61" s="9"/>
      <c r="AG61" s="9"/>
      <c r="AH61" s="9"/>
      <c r="AI61" s="9"/>
      <c r="AJ61" s="9"/>
      <c r="AK61" s="9"/>
      <c r="AL61" s="9"/>
      <c r="AM61" s="136">
        <v>0</v>
      </c>
      <c r="AN61" s="129">
        <v>0</v>
      </c>
      <c r="AO61" s="125"/>
      <c r="AP61" s="9"/>
      <c r="AQ61" s="9"/>
      <c r="AR61" s="9"/>
      <c r="AS61" s="9"/>
      <c r="AT61" s="9"/>
      <c r="AU61" s="9"/>
      <c r="AV61" s="9"/>
    </row>
    <row r="62" ht="15" customHeight="1" spans="1:48" x14ac:dyDescent="0.25">
      <c r="A62" s="70"/>
      <c r="B62" s="70"/>
      <c r="C62" s="137"/>
      <c r="D62" s="138"/>
      <c r="E62" s="138"/>
      <c r="F62" s="138"/>
      <c r="G62" s="138"/>
      <c r="H62" s="138"/>
      <c r="I62" s="138"/>
      <c r="J62" s="138"/>
      <c r="K62" s="138"/>
      <c r="L62" s="138"/>
      <c r="M62" s="138"/>
      <c r="N62" s="138"/>
      <c r="O62" s="138"/>
      <c r="P62" s="138"/>
      <c r="Q62" s="138"/>
      <c r="R62" s="138"/>
      <c r="S62" s="70"/>
      <c r="T62" s="70"/>
      <c r="U62" s="70"/>
      <c r="V62" s="70"/>
      <c r="W62" s="73"/>
      <c r="X62" s="9"/>
      <c r="Y62" s="111"/>
      <c r="Z62" s="111"/>
      <c r="AA62" s="9"/>
      <c r="AB62" s="9"/>
      <c r="AC62" s="9"/>
      <c r="AD62" s="9"/>
      <c r="AE62" s="9"/>
      <c r="AF62" s="9"/>
      <c r="AG62" s="9"/>
      <c r="AH62" s="9"/>
      <c r="AI62" s="9"/>
      <c r="AJ62" s="9"/>
      <c r="AK62" s="9"/>
      <c r="AL62" s="9"/>
      <c r="AM62" s="139">
        <v>5566</v>
      </c>
      <c r="AN62" s="140">
        <v>33396</v>
      </c>
      <c r="AO62" s="125"/>
      <c r="AP62" s="9"/>
      <c r="AQ62" s="9"/>
      <c r="AR62" s="9"/>
      <c r="AS62" s="9"/>
      <c r="AT62" s="9"/>
      <c r="AU62" s="9"/>
      <c r="AV62" s="9"/>
    </row>
    <row r="63" ht="15" customHeight="1" spans="1:48" x14ac:dyDescent="0.25">
      <c r="A63" s="43" t="s">
        <v>85</v>
      </c>
      <c r="B63" s="44"/>
      <c r="C63" s="43"/>
      <c r="D63" s="44"/>
      <c r="E63" s="44"/>
      <c r="F63" s="44"/>
      <c r="G63" s="44"/>
      <c r="H63" s="44"/>
      <c r="I63" s="44"/>
      <c r="J63" s="44"/>
      <c r="K63" s="44"/>
      <c r="L63" s="44"/>
      <c r="M63" s="44"/>
      <c r="N63" s="44"/>
      <c r="O63" s="44"/>
      <c r="P63" s="44"/>
      <c r="Q63" s="44"/>
      <c r="R63" s="44"/>
      <c r="S63" s="44"/>
      <c r="T63" s="44"/>
      <c r="U63" s="44"/>
      <c r="V63" s="44"/>
      <c r="W63" s="43"/>
      <c r="X63" s="12"/>
      <c r="Y63" s="111"/>
      <c r="Z63" s="111"/>
      <c r="AA63" s="9"/>
      <c r="AB63" s="9"/>
      <c r="AC63" s="9"/>
      <c r="AD63" s="9"/>
      <c r="AE63" s="9"/>
      <c r="AF63" s="9"/>
      <c r="AG63" s="9"/>
      <c r="AH63" s="9"/>
      <c r="AI63" s="9"/>
      <c r="AJ63" s="9"/>
      <c r="AK63" s="9"/>
      <c r="AL63" s="9"/>
      <c r="AM63" s="141">
        <f>SUM(AM58:AM62)</f>
        <v>125170</v>
      </c>
      <c r="AN63" s="141">
        <f>SUM(AN58:AN62)</f>
        <v>153000</v>
      </c>
      <c r="AO63" s="125"/>
      <c r="AP63" s="9"/>
      <c r="AQ63" s="9"/>
      <c r="AR63" s="9"/>
      <c r="AS63" s="9"/>
      <c r="AT63" s="9"/>
      <c r="AU63" s="9"/>
      <c r="AV63" s="9"/>
    </row>
    <row r="64" spans="1:48" x14ac:dyDescent="0.25">
      <c r="A64" s="47" t="s">
        <v>51</v>
      </c>
      <c r="B64" s="106"/>
      <c r="C64" s="49">
        <f>C32-C43</f>
        <v>3967.3160399999997</v>
      </c>
      <c r="D64" s="50">
        <f t="shared" ref="D64:V64" si="20">D32-D43</f>
        <v>4746.2310667500005</v>
      </c>
      <c r="E64" s="50">
        <f t="shared" si="20"/>
        <v>6559.074816749999</v>
      </c>
      <c r="F64" s="50">
        <f t="shared" si="20"/>
        <v>6559.074816749999</v>
      </c>
      <c r="G64" s="50">
        <f t="shared" si="20"/>
        <v>8371.918566749999</v>
      </c>
      <c r="H64" s="50">
        <f t="shared" si="20"/>
        <v>8371.918566749999</v>
      </c>
      <c r="I64" s="50">
        <f t="shared" si="20"/>
        <v>8371.918566749999</v>
      </c>
      <c r="J64" s="50">
        <f t="shared" si="20"/>
        <v>8371.918566749999</v>
      </c>
      <c r="K64" s="50">
        <f t="shared" si="20"/>
        <v>8371.918566749999</v>
      </c>
      <c r="L64" s="50">
        <f t="shared" si="20"/>
        <v>8371.918566749999</v>
      </c>
      <c r="M64" s="50">
        <f t="shared" si="20"/>
        <v>8371.918566749999</v>
      </c>
      <c r="N64" s="50">
        <f t="shared" si="20"/>
        <v>8371.918566749999</v>
      </c>
      <c r="O64" s="50">
        <f t="shared" si="20"/>
        <v>8371.918566749999</v>
      </c>
      <c r="P64" s="50">
        <f t="shared" si="20"/>
        <v>8371.918566749999</v>
      </c>
      <c r="Q64" s="50">
        <f t="shared" si="20"/>
        <v>8371.918566749999</v>
      </c>
      <c r="R64" s="50">
        <f t="shared" si="20"/>
        <v>8371.918566749999</v>
      </c>
      <c r="S64" s="50">
        <f t="shared" si="20"/>
        <v>8371.918566749999</v>
      </c>
      <c r="T64" s="50">
        <f t="shared" si="20"/>
        <v>8371.918566749999</v>
      </c>
      <c r="U64" s="50">
        <f t="shared" si="20"/>
        <v>8371.918566749999</v>
      </c>
      <c r="V64" s="50">
        <f t="shared" si="20"/>
        <v>8371.918566749999</v>
      </c>
      <c r="W64" s="51">
        <f>SUM(C64:V64)</f>
        <v>155782.39380825002</v>
      </c>
      <c r="X64" s="12"/>
      <c r="Y64" s="111" t="e">
        <f>SUM(#REF!)</f>
        <v>#REF!</v>
      </c>
      <c r="Z64" s="111" t="e">
        <f>NPV(5%,#REF!)</f>
        <v>#REF!</v>
      </c>
      <c r="AA64" s="9"/>
      <c r="AB64" s="9"/>
      <c r="AC64" s="9"/>
      <c r="AD64" s="9"/>
      <c r="AE64" s="9"/>
      <c r="AF64" s="9"/>
      <c r="AG64" s="9"/>
      <c r="AH64" s="9"/>
      <c r="AI64" s="9"/>
      <c r="AJ64" s="9"/>
      <c r="AK64" s="9"/>
      <c r="AL64" s="9"/>
      <c r="AM64" s="142"/>
      <c r="AN64" s="143" t="s">
        <v>71</v>
      </c>
      <c r="AO64" s="125"/>
      <c r="AP64" s="9"/>
      <c r="AQ64" s="9"/>
      <c r="AR64" s="9"/>
      <c r="AS64" s="9"/>
      <c r="AT64" s="9"/>
      <c r="AU64" s="9"/>
      <c r="AV64" s="9"/>
    </row>
    <row r="65" ht="15" customHeight="1" spans="1:48" x14ac:dyDescent="0.25">
      <c r="A65" s="47" t="s">
        <v>52</v>
      </c>
      <c r="B65" s="108"/>
      <c r="C65" s="53">
        <f>C33-C44</f>
        <v>56610.912864</v>
      </c>
      <c r="D65" s="54">
        <f t="shared" ref="D65:V65" si="21">D33-D44</f>
        <v>66656.84766300001</v>
      </c>
      <c r="E65" s="54">
        <f t="shared" si="21"/>
        <v>92116.72266300001</v>
      </c>
      <c r="F65" s="54">
        <f t="shared" si="21"/>
        <v>92116.72266300001</v>
      </c>
      <c r="G65" s="54">
        <f t="shared" si="21"/>
        <v>117576.59766300001</v>
      </c>
      <c r="H65" s="54">
        <f t="shared" si="21"/>
        <v>117576.59766300001</v>
      </c>
      <c r="I65" s="54">
        <f t="shared" si="21"/>
        <v>117576.59766300001</v>
      </c>
      <c r="J65" s="54">
        <f t="shared" si="21"/>
        <v>117576.59766300001</v>
      </c>
      <c r="K65" s="54">
        <f t="shared" si="21"/>
        <v>117576.59766300001</v>
      </c>
      <c r="L65" s="54">
        <f t="shared" si="21"/>
        <v>117576.59766300001</v>
      </c>
      <c r="M65" s="54">
        <f t="shared" si="21"/>
        <v>117576.59766300001</v>
      </c>
      <c r="N65" s="54">
        <f t="shared" si="21"/>
        <v>117576.59766300001</v>
      </c>
      <c r="O65" s="54">
        <f t="shared" si="21"/>
        <v>117576.59766300001</v>
      </c>
      <c r="P65" s="54">
        <f t="shared" si="21"/>
        <v>117576.59766300001</v>
      </c>
      <c r="Q65" s="54">
        <f t="shared" si="21"/>
        <v>117576.59766300001</v>
      </c>
      <c r="R65" s="54">
        <f t="shared" si="21"/>
        <v>117576.59766300001</v>
      </c>
      <c r="S65" s="54">
        <f t="shared" si="21"/>
        <v>117576.59766300001</v>
      </c>
      <c r="T65" s="54">
        <f t="shared" si="21"/>
        <v>117576.59766300001</v>
      </c>
      <c r="U65" s="54">
        <f t="shared" si="21"/>
        <v>117576.59766300001</v>
      </c>
      <c r="V65" s="54">
        <f t="shared" si="21"/>
        <v>117576.59766300001</v>
      </c>
      <c r="W65" s="55">
        <f>SUM(C65:V65)</f>
        <v>2188726.768461</v>
      </c>
      <c r="X65" s="12"/>
      <c r="Y65" s="111" t="e">
        <f>SUM(#REF!)</f>
        <v>#REF!</v>
      </c>
      <c r="Z65" s="111" t="e">
        <f>NPV(5%,#REF!)</f>
        <v>#REF!</v>
      </c>
      <c r="AA65" s="9"/>
      <c r="AB65" s="9"/>
      <c r="AC65" s="9"/>
      <c r="AD65" s="9"/>
      <c r="AE65" s="9"/>
      <c r="AF65" s="9"/>
      <c r="AG65" s="9"/>
      <c r="AH65" s="9"/>
      <c r="AI65" s="9"/>
      <c r="AJ65" s="9"/>
      <c r="AK65" s="9"/>
      <c r="AL65" s="9"/>
      <c r="AM65" s="126" t="s">
        <v>86</v>
      </c>
      <c r="AN65" s="127" t="s">
        <v>87</v>
      </c>
      <c r="AO65" s="125"/>
      <c r="AP65" s="9"/>
      <c r="AQ65" s="9"/>
      <c r="AR65" s="9"/>
      <c r="AS65" s="9"/>
      <c r="AT65" s="9"/>
      <c r="AU65" s="9"/>
      <c r="AV65" s="9"/>
    </row>
    <row r="66" ht="15" customHeight="1" spans="1:48" x14ac:dyDescent="0.25">
      <c r="A66" s="144" t="s">
        <v>53</v>
      </c>
      <c r="B66" s="145"/>
      <c r="C66" s="146">
        <f>C34-C45</f>
        <v>8073.725232000001</v>
      </c>
      <c r="D66" s="147">
        <f t="shared" ref="D66:V66" si="22">D34-D45</f>
        <v>11483.783054250001</v>
      </c>
      <c r="E66" s="147">
        <f t="shared" si="22"/>
        <v>15870.064304250001</v>
      </c>
      <c r="F66" s="147">
        <f t="shared" si="22"/>
        <v>15870.064304250001</v>
      </c>
      <c r="G66" s="147">
        <f t="shared" si="22"/>
        <v>20256.34555425</v>
      </c>
      <c r="H66" s="147">
        <f t="shared" si="22"/>
        <v>20256.34555425</v>
      </c>
      <c r="I66" s="147">
        <f t="shared" si="22"/>
        <v>20256.34555425</v>
      </c>
      <c r="J66" s="147">
        <f t="shared" si="22"/>
        <v>20256.34555425</v>
      </c>
      <c r="K66" s="147">
        <f t="shared" si="22"/>
        <v>20256.34555425</v>
      </c>
      <c r="L66" s="147">
        <f t="shared" si="22"/>
        <v>20256.34555425</v>
      </c>
      <c r="M66" s="147">
        <f t="shared" si="22"/>
        <v>20256.34555425</v>
      </c>
      <c r="N66" s="147">
        <f t="shared" si="22"/>
        <v>20256.34555425</v>
      </c>
      <c r="O66" s="147">
        <f t="shared" si="22"/>
        <v>20256.34555425</v>
      </c>
      <c r="P66" s="147">
        <f t="shared" si="22"/>
        <v>20256.34555425</v>
      </c>
      <c r="Q66" s="147">
        <f t="shared" si="22"/>
        <v>20256.34555425</v>
      </c>
      <c r="R66" s="147">
        <f t="shared" si="22"/>
        <v>20256.34555425</v>
      </c>
      <c r="S66" s="147">
        <f t="shared" si="22"/>
        <v>20256.34555425</v>
      </c>
      <c r="T66" s="147">
        <f t="shared" si="22"/>
        <v>20256.34555425</v>
      </c>
      <c r="U66" s="147">
        <f t="shared" si="22"/>
        <v>20256.34555425</v>
      </c>
      <c r="V66" s="147">
        <f t="shared" si="22"/>
        <v>20256.34555425</v>
      </c>
      <c r="W66" s="148">
        <f>SUM(C66:V66)</f>
        <v>375399.16576275</v>
      </c>
      <c r="X66" s="12"/>
      <c r="Y66" s="111" t="e">
        <f>SUM(#REF!)</f>
        <v>#REF!</v>
      </c>
      <c r="Z66" s="111" t="e">
        <f>NPV(5%,#REF!)</f>
        <v>#REF!</v>
      </c>
      <c r="AA66" s="9"/>
      <c r="AB66" s="9"/>
      <c r="AC66" s="9"/>
      <c r="AD66" s="9"/>
      <c r="AE66" s="9"/>
      <c r="AF66" s="9"/>
      <c r="AG66" s="9"/>
      <c r="AH66" s="9"/>
      <c r="AI66" s="9"/>
      <c r="AJ66" s="9"/>
      <c r="AK66" s="9"/>
      <c r="AL66" s="9"/>
      <c r="AM66" s="149"/>
      <c r="AN66" s="150"/>
      <c r="AO66" s="125"/>
      <c r="AP66" s="9"/>
      <c r="AQ66" s="9"/>
      <c r="AR66" s="9"/>
      <c r="AS66" s="9"/>
      <c r="AT66" s="9"/>
      <c r="AU66" s="9"/>
      <c r="AV66" s="9"/>
    </row>
    <row r="67" ht="15" customHeight="1" spans="1:48" x14ac:dyDescent="0.25">
      <c r="A67" s="86"/>
      <c r="B67" s="86"/>
      <c r="C67" s="86"/>
      <c r="D67" s="86"/>
      <c r="E67" s="86"/>
      <c r="F67" s="86"/>
      <c r="G67" s="86"/>
      <c r="H67" s="86"/>
      <c r="I67" s="86"/>
      <c r="J67" s="86"/>
      <c r="K67" s="86"/>
      <c r="L67" s="86"/>
      <c r="M67" s="86"/>
      <c r="N67" s="86"/>
      <c r="O67" s="86"/>
      <c r="P67" s="86"/>
      <c r="Q67" s="86"/>
      <c r="R67" s="86"/>
      <c r="S67" s="86"/>
      <c r="T67" s="86"/>
      <c r="U67" s="86"/>
      <c r="V67" s="86"/>
      <c r="W67" s="117">
        <f>SUM(W61:W66)</f>
        <v>8752179.775206</v>
      </c>
      <c r="X67" s="86"/>
      <c r="Y67" s="12"/>
      <c r="Z67" s="12"/>
      <c r="AA67" s="86"/>
      <c r="AB67" s="86"/>
      <c r="AC67" s="9"/>
      <c r="AD67" s="9"/>
      <c r="AE67" s="9"/>
      <c r="AF67" s="9"/>
      <c r="AG67" s="9"/>
      <c r="AH67" s="9"/>
      <c r="AI67" s="9"/>
      <c r="AJ67" s="9"/>
      <c r="AK67" s="9"/>
      <c r="AL67" s="9"/>
      <c r="AM67" s="139">
        <v>119604</v>
      </c>
      <c r="AN67" s="140">
        <v>119604</v>
      </c>
      <c r="AO67" s="125"/>
      <c r="AP67" s="9"/>
      <c r="AQ67" s="9"/>
      <c r="AR67" s="9"/>
      <c r="AS67" s="9"/>
      <c r="AT67" s="9"/>
      <c r="AU67" s="9"/>
      <c r="AV67" s="9"/>
    </row>
    <row r="68" ht="21.5" customHeight="1" spans="1:48" x14ac:dyDescent="0.25">
      <c r="A68" s="151"/>
      <c r="B68" s="86"/>
      <c r="C68" s="152" t="s">
        <v>88</v>
      </c>
      <c r="S68" s="8"/>
      <c r="T68" s="9"/>
      <c r="U68" s="9"/>
      <c r="V68" s="9"/>
      <c r="W68" s="117">
        <f>W67-W59</f>
        <v>6502179.775206</v>
      </c>
      <c r="X68" s="86"/>
      <c r="Y68" s="86"/>
      <c r="Z68" s="86"/>
      <c r="AA68" s="86"/>
      <c r="AB68" s="86"/>
      <c r="AC68" s="9"/>
      <c r="AD68" s="9"/>
      <c r="AE68" s="9"/>
      <c r="AF68" s="9"/>
      <c r="AG68" s="9"/>
      <c r="AH68" s="9"/>
      <c r="AI68" s="9"/>
      <c r="AJ68" s="9"/>
      <c r="AK68" s="9"/>
      <c r="AL68" s="9"/>
      <c r="AM68" s="139">
        <v>2293684</v>
      </c>
      <c r="AN68" s="140">
        <v>13608233</v>
      </c>
      <c r="AO68" s="125"/>
      <c r="AP68" s="9"/>
      <c r="AQ68" s="9"/>
      <c r="AR68" s="9"/>
      <c r="AS68" s="9"/>
      <c r="AT68" s="9"/>
      <c r="AU68" s="9"/>
      <c r="AV68" s="9"/>
    </row>
    <row r="69" ht="15" customHeight="1" spans="1:48" x14ac:dyDescent="0.25">
      <c r="A69" s="151"/>
      <c r="B69" s="86">
        <v>52500000</v>
      </c>
      <c r="C69" s="153">
        <v>52500000</v>
      </c>
      <c r="D69" s="153">
        <v>52500000</v>
      </c>
      <c r="E69" s="153">
        <v>54600000</v>
      </c>
      <c r="F69" s="153">
        <v>56238000</v>
      </c>
      <c r="G69" s="153">
        <v>57925140</v>
      </c>
      <c r="H69" s="153">
        <v>59662894</v>
      </c>
      <c r="I69" s="153">
        <v>61452781</v>
      </c>
      <c r="J69" s="153">
        <v>63296364</v>
      </c>
      <c r="K69" s="153">
        <v>65195255</v>
      </c>
      <c r="L69" s="153">
        <v>68455018</v>
      </c>
      <c r="M69" s="153">
        <v>71877769</v>
      </c>
      <c r="N69" s="153">
        <v>75471658</v>
      </c>
      <c r="O69" s="153">
        <v>79245240</v>
      </c>
      <c r="P69" s="153">
        <v>83207502</v>
      </c>
      <c r="Q69" s="153">
        <v>87367878</v>
      </c>
      <c r="R69" s="153">
        <v>91736271</v>
      </c>
      <c r="S69" s="153">
        <v>96323085</v>
      </c>
      <c r="T69" s="153">
        <v>101139239</v>
      </c>
      <c r="U69" s="153">
        <v>106196201</v>
      </c>
      <c r="V69" s="153">
        <v>117081312</v>
      </c>
      <c r="W69" s="117"/>
      <c r="X69" s="86"/>
      <c r="Y69" s="86"/>
      <c r="Z69" s="86"/>
      <c r="AA69" s="86"/>
      <c r="AB69" s="86"/>
      <c r="AC69" s="9"/>
      <c r="AD69" s="9"/>
      <c r="AE69" s="9"/>
      <c r="AF69" s="9"/>
      <c r="AG69" s="9"/>
      <c r="AH69" s="9"/>
      <c r="AI69" s="9"/>
      <c r="AJ69" s="9"/>
      <c r="AK69" s="9"/>
      <c r="AL69" s="9"/>
      <c r="AM69" s="154">
        <f>SUM(AM67:AM68)</f>
        <v>2413288</v>
      </c>
      <c r="AN69" s="154">
        <f>SUM(AN67:AN68)</f>
        <v>13727837</v>
      </c>
      <c r="AO69" s="125"/>
      <c r="AP69" s="9"/>
      <c r="AQ69" s="9"/>
      <c r="AR69" s="9"/>
      <c r="AS69" s="9"/>
      <c r="AT69" s="9"/>
      <c r="AU69" s="9"/>
      <c r="AV69" s="9"/>
    </row>
    <row r="70" spans="1:48" x14ac:dyDescent="0.25">
      <c r="A70" s="151"/>
      <c r="B70" s="86"/>
      <c r="C70" s="86"/>
      <c r="D70" s="155">
        <f>(D69-C69)/C69</f>
        <v>0.38461538461538464</v>
      </c>
      <c r="E70" s="155">
        <f t="shared" ref="E70:V70" si="23">(E69-D69)/D69</f>
        <v>0</v>
      </c>
      <c r="F70" s="155">
        <f t="shared" si="23"/>
        <v>0.2777777777777778</v>
      </c>
      <c r="G70" s="155">
        <f t="shared" si="23"/>
        <v>0</v>
      </c>
      <c r="H70" s="155">
        <f t="shared" si="23"/>
        <v>0</v>
      </c>
      <c r="I70" s="155">
        <f t="shared" si="23"/>
        <v>0</v>
      </c>
      <c r="J70" s="155">
        <f t="shared" si="23"/>
        <v>0</v>
      </c>
      <c r="K70" s="155">
        <f t="shared" si="23"/>
        <v>0</v>
      </c>
      <c r="L70" s="155">
        <f t="shared" si="23"/>
        <v>0</v>
      </c>
      <c r="M70" s="155">
        <f t="shared" si="23"/>
        <v>0</v>
      </c>
      <c r="N70" s="155">
        <f t="shared" si="23"/>
        <v>0</v>
      </c>
      <c r="O70" s="155">
        <f t="shared" si="23"/>
        <v>0</v>
      </c>
      <c r="P70" s="155">
        <f t="shared" si="23"/>
        <v>0</v>
      </c>
      <c r="Q70" s="155">
        <f t="shared" si="23"/>
        <v>0</v>
      </c>
      <c r="R70" s="155">
        <f t="shared" si="23"/>
        <v>0</v>
      </c>
      <c r="S70" s="155">
        <f t="shared" si="23"/>
        <v>0</v>
      </c>
      <c r="T70" s="155">
        <f t="shared" si="23"/>
        <v>0</v>
      </c>
      <c r="U70" s="155">
        <f t="shared" si="23"/>
        <v>0</v>
      </c>
      <c r="V70" s="155">
        <f t="shared" si="23"/>
        <v>0</v>
      </c>
      <c r="W70" s="117"/>
      <c r="X70" s="86"/>
      <c r="Y70" s="86"/>
      <c r="Z70" s="86"/>
      <c r="AA70" s="86"/>
      <c r="AB70" s="86"/>
      <c r="AC70" s="9"/>
      <c r="AD70" s="9"/>
      <c r="AE70" s="9"/>
      <c r="AF70" s="9"/>
      <c r="AG70" s="9"/>
      <c r="AH70" s="9"/>
      <c r="AI70" s="9"/>
      <c r="AJ70" s="9"/>
      <c r="AK70" s="9"/>
      <c r="AL70" s="9"/>
      <c r="AM70" s="9"/>
      <c r="AN70" s="9"/>
      <c r="AO70" s="9"/>
      <c r="AP70" s="9"/>
      <c r="AQ70" s="9"/>
      <c r="AR70" s="9"/>
      <c r="AS70" s="9"/>
      <c r="AT70" s="9"/>
      <c r="AU70" s="9"/>
      <c r="AV70" s="9"/>
    </row>
    <row r="71" spans="1:48" x14ac:dyDescent="0.25">
      <c r="A71" s="151"/>
      <c r="B71" s="86"/>
      <c r="C71" s="86"/>
      <c r="D71" s="86"/>
      <c r="E71" s="86"/>
      <c r="F71" s="86"/>
      <c r="G71" s="86"/>
      <c r="H71" s="86"/>
      <c r="I71" s="86"/>
      <c r="J71" s="86"/>
      <c r="K71" s="86"/>
      <c r="L71" s="86"/>
      <c r="M71" s="86"/>
      <c r="N71" s="86"/>
      <c r="O71" s="86"/>
      <c r="P71" s="86"/>
      <c r="Q71" s="86"/>
      <c r="R71" s="86"/>
      <c r="S71" s="86"/>
      <c r="T71" s="86"/>
      <c r="U71" s="86"/>
      <c r="V71" s="86"/>
      <c r="W71" s="117"/>
      <c r="X71" s="86"/>
      <c r="Y71" s="86"/>
      <c r="Z71" s="86"/>
      <c r="AA71" s="86"/>
      <c r="AB71" s="86"/>
      <c r="AC71" s="9"/>
      <c r="AD71" s="9"/>
      <c r="AE71" s="9"/>
      <c r="AF71" s="9"/>
      <c r="AG71" s="9"/>
      <c r="AH71" s="9"/>
      <c r="AI71" s="9"/>
      <c r="AJ71" s="9"/>
      <c r="AK71" s="9"/>
      <c r="AL71" s="9"/>
      <c r="AM71" s="9"/>
      <c r="AN71" s="9"/>
      <c r="AO71" s="9"/>
      <c r="AP71" s="9"/>
      <c r="AQ71" s="9"/>
      <c r="AR71" s="9"/>
      <c r="AS71" s="9"/>
      <c r="AT71" s="9"/>
      <c r="AU71" s="9"/>
      <c r="AV71" s="9"/>
    </row>
    <row r="72" spans="1:48" x14ac:dyDescent="0.25">
      <c r="A72" s="151"/>
      <c r="B72" s="86"/>
      <c r="C72" s="86"/>
      <c r="D72" s="86"/>
      <c r="E72" s="86"/>
      <c r="F72" s="86"/>
      <c r="G72" s="86"/>
      <c r="H72" s="86"/>
      <c r="I72" s="86"/>
      <c r="J72" s="86"/>
      <c r="K72" s="86"/>
      <c r="L72" s="86"/>
      <c r="M72" s="86"/>
      <c r="N72" s="86"/>
      <c r="O72" s="86"/>
      <c r="P72" s="86"/>
      <c r="Q72" s="86"/>
      <c r="R72" s="86"/>
      <c r="S72" s="86"/>
      <c r="T72" s="86"/>
      <c r="U72" s="86"/>
      <c r="V72" s="95"/>
      <c r="W72" s="117"/>
      <c r="X72" s="86"/>
      <c r="Y72" s="86"/>
      <c r="Z72" s="86"/>
      <c r="AA72" s="86"/>
      <c r="AB72" s="86"/>
      <c r="AC72" s="9"/>
      <c r="AD72" s="9"/>
      <c r="AE72" s="9"/>
      <c r="AF72" s="9"/>
      <c r="AG72" s="9"/>
      <c r="AH72" s="9"/>
      <c r="AI72" s="9"/>
      <c r="AJ72" s="9"/>
      <c r="AK72" s="9"/>
      <c r="AL72" s="9"/>
      <c r="AM72" s="9"/>
      <c r="AN72" s="9"/>
      <c r="AO72" s="9"/>
      <c r="AP72" s="9"/>
      <c r="AQ72" s="9"/>
      <c r="AR72" s="9"/>
      <c r="AS72" s="9"/>
      <c r="AT72" s="9"/>
      <c r="AU72" s="9"/>
      <c r="AV72" s="9"/>
    </row>
    <row r="73" spans="1:48" x14ac:dyDescent="0.25">
      <c r="A73" s="151"/>
      <c r="B73" s="86"/>
      <c r="C73" s="86">
        <v>1</v>
      </c>
      <c r="D73" s="86">
        <v>2</v>
      </c>
      <c r="E73" s="86">
        <v>3</v>
      </c>
      <c r="F73" s="86">
        <v>4</v>
      </c>
      <c r="G73" s="86">
        <v>5</v>
      </c>
      <c r="H73" s="86">
        <v>6</v>
      </c>
      <c r="I73" s="86">
        <v>7</v>
      </c>
      <c r="J73" s="86">
        <v>8</v>
      </c>
      <c r="K73" s="86">
        <v>9</v>
      </c>
      <c r="L73" s="86">
        <v>10</v>
      </c>
      <c r="M73" s="86">
        <v>11</v>
      </c>
      <c r="N73" s="86">
        <v>12</v>
      </c>
      <c r="O73" s="86">
        <v>13</v>
      </c>
      <c r="P73" s="86">
        <v>14</v>
      </c>
      <c r="Q73" s="86">
        <v>15</v>
      </c>
      <c r="R73" s="86">
        <v>16</v>
      </c>
      <c r="S73" s="86">
        <v>17</v>
      </c>
      <c r="T73" s="86">
        <v>18</v>
      </c>
      <c r="U73" s="86">
        <v>19</v>
      </c>
      <c r="V73" s="86">
        <v>20</v>
      </c>
      <c r="W73" s="117"/>
      <c r="X73" s="86"/>
      <c r="Y73" s="86"/>
      <c r="Z73" s="86"/>
      <c r="AA73" s="86"/>
      <c r="AB73" s="86"/>
      <c r="AC73" s="9"/>
      <c r="AD73" s="9"/>
      <c r="AE73" s="9"/>
      <c r="AF73" s="9"/>
      <c r="AG73" s="9"/>
      <c r="AH73" s="9"/>
      <c r="AI73" s="9"/>
      <c r="AJ73" s="9"/>
      <c r="AK73" s="9"/>
      <c r="AL73" s="9"/>
      <c r="AM73" s="9"/>
      <c r="AN73" s="9"/>
      <c r="AO73" s="9"/>
      <c r="AP73" s="9"/>
      <c r="AQ73" s="9"/>
      <c r="AR73" s="9"/>
      <c r="AS73" s="9"/>
      <c r="AT73" s="9"/>
      <c r="AU73" s="9"/>
      <c r="AV73" s="9"/>
    </row>
    <row r="74" spans="1:48" x14ac:dyDescent="0.25">
      <c r="A74" s="156" t="s">
        <v>89</v>
      </c>
      <c r="B74" s="157"/>
      <c r="C74" s="158"/>
      <c r="D74" s="158"/>
      <c r="E74" s="158"/>
      <c r="F74" s="158"/>
      <c r="G74" s="158"/>
      <c r="H74" s="158"/>
      <c r="I74" s="158"/>
      <c r="J74" s="158"/>
      <c r="K74" s="158"/>
      <c r="L74" s="158"/>
      <c r="M74" s="158"/>
      <c r="N74" s="158"/>
      <c r="O74" s="158"/>
      <c r="P74" s="158"/>
      <c r="Q74" s="158"/>
      <c r="R74" s="158"/>
      <c r="S74" s="158"/>
      <c r="T74" s="158"/>
      <c r="U74" s="158"/>
      <c r="V74" s="159"/>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row>
    <row r="75" spans="1:48" x14ac:dyDescent="0.25">
      <c r="A75" s="160"/>
      <c r="B75" s="157"/>
      <c r="C75" s="158"/>
      <c r="D75" s="158"/>
      <c r="E75" s="158"/>
      <c r="F75" s="158"/>
      <c r="G75" s="158"/>
      <c r="H75" s="158"/>
      <c r="I75" s="158"/>
      <c r="J75" s="158"/>
      <c r="K75" s="158"/>
      <c r="L75" s="158"/>
      <c r="M75" s="158"/>
      <c r="N75" s="158"/>
      <c r="O75" s="158"/>
      <c r="P75" s="158"/>
      <c r="Q75" s="158"/>
      <c r="R75" s="158"/>
      <c r="S75" s="158"/>
      <c r="T75" s="158"/>
      <c r="U75" s="158"/>
      <c r="V75" s="159"/>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row>
    <row r="76" spans="1:48" x14ac:dyDescent="0.25">
      <c r="A76" s="156" t="s">
        <v>90</v>
      </c>
      <c r="B76" s="157"/>
      <c r="C76" s="158"/>
      <c r="D76" s="158"/>
      <c r="E76" s="158"/>
      <c r="F76" s="158"/>
      <c r="G76" s="158"/>
      <c r="H76" s="158"/>
      <c r="I76" s="158"/>
      <c r="J76" s="158"/>
      <c r="K76" s="158"/>
      <c r="L76" s="158"/>
      <c r="M76" s="158"/>
      <c r="N76" s="158"/>
      <c r="O76" s="158"/>
      <c r="P76" s="158"/>
      <c r="Q76" s="158"/>
      <c r="R76" s="158"/>
      <c r="S76" s="158"/>
      <c r="T76" s="158"/>
      <c r="U76" s="158"/>
      <c r="V76" s="159"/>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row>
    <row r="77" spans="1:48" x14ac:dyDescent="0.25" outlineLevel="1" collapsed="1">
      <c r="A77" s="161" t="s">
        <v>91</v>
      </c>
      <c r="B77" s="162"/>
      <c r="C77" s="163"/>
      <c r="D77" s="163"/>
      <c r="E77" s="163"/>
      <c r="F77" s="163"/>
      <c r="G77" s="163"/>
      <c r="H77" s="163"/>
      <c r="I77" s="163"/>
      <c r="J77" s="163"/>
      <c r="K77" s="163"/>
      <c r="L77" s="163"/>
      <c r="M77" s="163"/>
      <c r="N77" s="163"/>
      <c r="O77" s="163"/>
      <c r="P77" s="163"/>
      <c r="Q77" s="163"/>
      <c r="R77" s="163"/>
      <c r="S77" s="163"/>
      <c r="T77" s="163"/>
      <c r="U77" s="163"/>
      <c r="V77" s="164"/>
      <c r="W77" s="165"/>
      <c r="X77" s="165"/>
      <c r="Y77" s="165"/>
      <c r="Z77" s="165"/>
      <c r="AA77" s="165"/>
      <c r="AB77" s="165"/>
      <c r="AC77" s="165"/>
      <c r="AD77" s="165"/>
      <c r="AE77" s="165"/>
      <c r="AF77" s="165"/>
      <c r="AG77" s="165"/>
      <c r="AH77" s="165"/>
      <c r="AI77" s="165"/>
      <c r="AJ77" s="165"/>
      <c r="AK77" s="165"/>
      <c r="AL77" s="165"/>
      <c r="AM77" s="165"/>
      <c r="AN77" s="165"/>
      <c r="AO77" s="165"/>
      <c r="AP77" s="165"/>
      <c r="AQ77" s="165"/>
      <c r="AR77" s="165"/>
      <c r="AS77" s="165"/>
      <c r="AT77" s="165"/>
      <c r="AU77" s="165"/>
      <c r="AV77" s="165"/>
    </row>
    <row r="78" spans="1:48" x14ac:dyDescent="0.25" outlineLevel="1" collapsed="1">
      <c r="A78" s="166" t="s">
        <v>92</v>
      </c>
      <c r="B78" s="157"/>
      <c r="C78" s="167">
        <f>C17</f>
        <v>12644832</v>
      </c>
      <c r="D78" s="167"/>
      <c r="E78" s="167"/>
      <c r="F78" s="167"/>
      <c r="G78" s="167"/>
      <c r="H78" s="167"/>
      <c r="I78" s="167"/>
      <c r="J78" s="167"/>
      <c r="K78" s="167"/>
      <c r="L78" s="167"/>
      <c r="M78" s="167"/>
      <c r="N78" s="167"/>
      <c r="O78" s="167"/>
      <c r="P78" s="167"/>
      <c r="Q78" s="167"/>
      <c r="R78" s="167"/>
      <c r="S78" s="167">
        <f>S17</f>
        <v>35213117</v>
      </c>
      <c r="T78" s="167">
        <f>T17</f>
        <v>35213117</v>
      </c>
      <c r="U78" s="167">
        <f>U17</f>
        <v>35213117</v>
      </c>
      <c r="V78" s="159"/>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row>
    <row r="79" spans="1:48" x14ac:dyDescent="0.25" outlineLevel="1" collapsed="1">
      <c r="A79" s="166" t="s">
        <v>93</v>
      </c>
      <c r="B79" s="167">
        <f>C22</f>
        <v>0</v>
      </c>
      <c r="C79" s="167" t="e">
        <f>#REF!</f>
        <v>#REF!</v>
      </c>
      <c r="D79" s="167"/>
      <c r="E79" s="167"/>
      <c r="F79" s="167"/>
      <c r="G79" s="167"/>
      <c r="H79" s="167"/>
      <c r="I79" s="167"/>
      <c r="J79" s="167"/>
      <c r="K79" s="167"/>
      <c r="L79" s="167"/>
      <c r="M79" s="167"/>
      <c r="N79" s="167"/>
      <c r="O79" s="167"/>
      <c r="P79" s="167"/>
      <c r="Q79" s="167"/>
      <c r="R79" s="167"/>
      <c r="S79" s="167">
        <f>C17</f>
        <v>12644832</v>
      </c>
      <c r="T79" s="167">
        <f>S17</f>
        <v>35213117</v>
      </c>
      <c r="U79" s="167">
        <f>T17</f>
        <v>35213117</v>
      </c>
      <c r="V79" s="159"/>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row>
    <row r="80" spans="1:48" x14ac:dyDescent="0.25" outlineLevel="1" collapsed="1">
      <c r="A80" s="168" t="s">
        <v>94</v>
      </c>
      <c r="B80" s="157"/>
      <c r="C80" s="169" t="e">
        <f t="shared" ref="C80:U80" si="24">(C78-C79)/C79</f>
        <v>#REF!</v>
      </c>
      <c r="D80" s="169"/>
      <c r="E80" s="169"/>
      <c r="F80" s="169"/>
      <c r="G80" s="169"/>
      <c r="H80" s="169"/>
      <c r="I80" s="169"/>
      <c r="J80" s="169"/>
      <c r="K80" s="169"/>
      <c r="L80" s="169"/>
      <c r="M80" s="169"/>
      <c r="N80" s="169"/>
      <c r="O80" s="169"/>
      <c r="P80" s="169"/>
      <c r="Q80" s="169"/>
      <c r="R80" s="169"/>
      <c r="S80" s="169">
        <f t="shared" si="24"/>
        <v>1.7847833011937209</v>
      </c>
      <c r="T80" s="169">
        <f t="shared" si="24"/>
        <v>0</v>
      </c>
      <c r="U80" s="169">
        <f t="shared" si="24"/>
        <v>0</v>
      </c>
      <c r="V80" s="159"/>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row>
    <row r="81" spans="1:48" x14ac:dyDescent="0.25" outlineLevel="1" collapsed="1">
      <c r="A81" s="168" t="s">
        <v>95</v>
      </c>
      <c r="B81" s="157"/>
      <c r="C81" s="169" t="e">
        <f t="shared" ref="C81:U81" si="25">(C78-$B$79)/$B$79</f>
        <v>#DIV/0!</v>
      </c>
      <c r="D81" s="169"/>
      <c r="E81" s="169"/>
      <c r="F81" s="169"/>
      <c r="G81" s="169"/>
      <c r="H81" s="169"/>
      <c r="I81" s="169"/>
      <c r="J81" s="169"/>
      <c r="K81" s="169"/>
      <c r="L81" s="169"/>
      <c r="M81" s="169"/>
      <c r="N81" s="169"/>
      <c r="O81" s="169"/>
      <c r="P81" s="169"/>
      <c r="Q81" s="169"/>
      <c r="R81" s="169"/>
      <c r="S81" s="169" t="e">
        <f t="shared" si="25"/>
        <v>#DIV/0!</v>
      </c>
      <c r="T81" s="169" t="e">
        <f t="shared" si="25"/>
        <v>#DIV/0!</v>
      </c>
      <c r="U81" s="169" t="e">
        <f t="shared" si="25"/>
        <v>#DIV/0!</v>
      </c>
      <c r="V81" s="159"/>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row>
    <row r="82" spans="1:48" x14ac:dyDescent="0.25" outlineLevel="1" collapsed="1">
      <c r="A82" s="168" t="s">
        <v>96</v>
      </c>
      <c r="B82" s="157"/>
      <c r="C82" s="169" t="e">
        <f t="shared" ref="C82:U82" si="26">(C78/$B$79)^(1/C93)-1</f>
        <v>#DIV/0!</v>
      </c>
      <c r="D82" s="169"/>
      <c r="E82" s="169"/>
      <c r="F82" s="169"/>
      <c r="G82" s="169"/>
      <c r="H82" s="169"/>
      <c r="I82" s="169"/>
      <c r="J82" s="169"/>
      <c r="K82" s="169"/>
      <c r="L82" s="169"/>
      <c r="M82" s="169"/>
      <c r="N82" s="169"/>
      <c r="O82" s="169"/>
      <c r="P82" s="169"/>
      <c r="Q82" s="169"/>
      <c r="R82" s="169"/>
      <c r="S82" s="169" t="e">
        <f t="shared" si="26"/>
        <v>#DIV/0!</v>
      </c>
      <c r="T82" s="169" t="e">
        <f t="shared" si="26"/>
        <v>#DIV/0!</v>
      </c>
      <c r="U82" s="169" t="e">
        <f t="shared" si="26"/>
        <v>#DIV/0!</v>
      </c>
      <c r="V82" s="159"/>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row>
    <row r="83" spans="1:48" x14ac:dyDescent="0.25" outlineLevel="1" collapsed="1">
      <c r="A83" s="168" t="s">
        <v>97</v>
      </c>
      <c r="B83" s="157"/>
      <c r="C83" s="169" t="e">
        <f t="shared" ref="C83:U83" si="27">(C78/$B$79)^(1/C93)-1</f>
        <v>#DIV/0!</v>
      </c>
      <c r="D83" s="169"/>
      <c r="E83" s="169"/>
      <c r="F83" s="169"/>
      <c r="G83" s="169"/>
      <c r="H83" s="169"/>
      <c r="I83" s="169"/>
      <c r="J83" s="169"/>
      <c r="K83" s="169"/>
      <c r="L83" s="169"/>
      <c r="M83" s="169"/>
      <c r="N83" s="169"/>
      <c r="O83" s="169"/>
      <c r="P83" s="169"/>
      <c r="Q83" s="169"/>
      <c r="R83" s="169"/>
      <c r="S83" s="169" t="e">
        <f t="shared" si="27"/>
        <v>#DIV/0!</v>
      </c>
      <c r="T83" s="169" t="e">
        <f t="shared" si="27"/>
        <v>#DIV/0!</v>
      </c>
      <c r="U83" s="169" t="e">
        <f t="shared" si="27"/>
        <v>#DIV/0!</v>
      </c>
      <c r="V83" s="159"/>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row>
    <row r="84" spans="1:48" x14ac:dyDescent="0.25" outlineLevel="1" collapsed="1">
      <c r="A84" s="168"/>
      <c r="B84" s="157"/>
      <c r="C84" s="169"/>
      <c r="D84" s="169"/>
      <c r="E84" s="169"/>
      <c r="F84" s="169"/>
      <c r="G84" s="169"/>
      <c r="H84" s="169"/>
      <c r="I84" s="169"/>
      <c r="J84" s="169"/>
      <c r="K84" s="169"/>
      <c r="L84" s="169"/>
      <c r="M84" s="169"/>
      <c r="N84" s="169"/>
      <c r="O84" s="169"/>
      <c r="P84" s="169"/>
      <c r="Q84" s="169"/>
      <c r="R84" s="169"/>
      <c r="S84" s="169"/>
      <c r="T84" s="158"/>
      <c r="U84" s="158"/>
      <c r="V84" s="159"/>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row>
    <row r="85" spans="1:48" x14ac:dyDescent="0.25" outlineLevel="1" collapsed="1">
      <c r="A85" s="160" t="s">
        <v>53</v>
      </c>
      <c r="B85" s="157"/>
      <c r="C85" s="169"/>
      <c r="D85" s="169"/>
      <c r="E85" s="169"/>
      <c r="F85" s="169"/>
      <c r="G85" s="169"/>
      <c r="H85" s="169"/>
      <c r="I85" s="169"/>
      <c r="J85" s="169"/>
      <c r="K85" s="169"/>
      <c r="L85" s="169"/>
      <c r="M85" s="169"/>
      <c r="N85" s="169"/>
      <c r="O85" s="169"/>
      <c r="P85" s="169"/>
      <c r="Q85" s="169"/>
      <c r="R85" s="169"/>
      <c r="S85" s="169"/>
      <c r="T85" s="158"/>
      <c r="U85" s="158"/>
      <c r="V85" s="159"/>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row>
    <row r="86" spans="1:48" x14ac:dyDescent="0.25" outlineLevel="1" collapsed="1">
      <c r="A86" s="166" t="s">
        <v>92</v>
      </c>
      <c r="B86" s="170">
        <v>1997</v>
      </c>
      <c r="C86" s="167">
        <v>1204580532</v>
      </c>
      <c r="D86" s="167"/>
      <c r="E86" s="167"/>
      <c r="F86" s="167"/>
      <c r="G86" s="167"/>
      <c r="H86" s="167"/>
      <c r="I86" s="167"/>
      <c r="J86" s="167"/>
      <c r="K86" s="167"/>
      <c r="L86" s="167"/>
      <c r="M86" s="167"/>
      <c r="N86" s="167"/>
      <c r="O86" s="167"/>
      <c r="P86" s="167"/>
      <c r="Q86" s="167"/>
      <c r="R86" s="167"/>
      <c r="S86" s="167">
        <v>1466339474</v>
      </c>
      <c r="T86" s="158">
        <v>1576891710</v>
      </c>
      <c r="U86" s="158">
        <v>1782491357</v>
      </c>
      <c r="V86" s="159"/>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row>
    <row r="87" spans="1:48" x14ac:dyDescent="0.25" outlineLevel="1" collapsed="1">
      <c r="A87" s="166" t="s">
        <v>93</v>
      </c>
      <c r="B87" s="171">
        <v>1190576948</v>
      </c>
      <c r="C87" s="167" t="e">
        <f>#REF!</f>
        <v>#REF!</v>
      </c>
      <c r="D87" s="167"/>
      <c r="E87" s="167"/>
      <c r="F87" s="167"/>
      <c r="G87" s="167"/>
      <c r="H87" s="167"/>
      <c r="I87" s="167"/>
      <c r="J87" s="167"/>
      <c r="K87" s="167"/>
      <c r="L87" s="167"/>
      <c r="M87" s="167"/>
      <c r="N87" s="167"/>
      <c r="O87" s="167"/>
      <c r="P87" s="167"/>
      <c r="Q87" s="167"/>
      <c r="R87" s="167"/>
      <c r="S87" s="167">
        <f>C86</f>
        <v>1204580532</v>
      </c>
      <c r="T87" s="167">
        <f t="shared" ref="T87:U87" si="28">S86</f>
        <v>1466339474</v>
      </c>
      <c r="U87" s="167">
        <f t="shared" si="28"/>
        <v>1576891710</v>
      </c>
      <c r="V87" s="159"/>
      <c r="W87" s="172"/>
      <c r="X87" s="172"/>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row>
    <row r="88" spans="1:48" x14ac:dyDescent="0.25" outlineLevel="1" collapsed="1">
      <c r="A88" s="168" t="s">
        <v>94</v>
      </c>
      <c r="B88" s="157"/>
      <c r="C88" s="169" t="e">
        <f>(C86-C87)/C87</f>
        <v>#REF!</v>
      </c>
      <c r="D88" s="169"/>
      <c r="E88" s="169"/>
      <c r="F88" s="169"/>
      <c r="G88" s="169"/>
      <c r="H88" s="169"/>
      <c r="I88" s="169"/>
      <c r="J88" s="169"/>
      <c r="K88" s="169"/>
      <c r="L88" s="169"/>
      <c r="M88" s="169"/>
      <c r="N88" s="169"/>
      <c r="O88" s="169"/>
      <c r="P88" s="169"/>
      <c r="Q88" s="169"/>
      <c r="R88" s="169"/>
      <c r="S88" s="169">
        <f t="shared" ref="S88" si="29">(S86-S87)/S87</f>
        <v>0.21730298227997594</v>
      </c>
      <c r="T88" s="169">
        <f>(T86-T87)/T87</f>
        <v>0.07539334373808176</v>
      </c>
      <c r="U88" s="169">
        <f>(U86-U87)/U87</f>
        <v>0.13038285742525718</v>
      </c>
      <c r="V88" s="159"/>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row>
    <row r="89" spans="1:48" x14ac:dyDescent="0.25" outlineLevel="1" collapsed="1">
      <c r="A89" s="168" t="s">
        <v>95</v>
      </c>
      <c r="B89" s="157"/>
      <c r="C89" s="169">
        <f t="shared" ref="C89:U89" si="30">(C86-$B$87)/$B$87</f>
        <v>0.011762015066329002</v>
      </c>
      <c r="D89" s="169"/>
      <c r="E89" s="169"/>
      <c r="F89" s="169"/>
      <c r="G89" s="169"/>
      <c r="H89" s="169"/>
      <c r="I89" s="169"/>
      <c r="J89" s="169"/>
      <c r="K89" s="169"/>
      <c r="L89" s="169"/>
      <c r="M89" s="169"/>
      <c r="N89" s="169"/>
      <c r="O89" s="169"/>
      <c r="P89" s="169"/>
      <c r="Q89" s="169"/>
      <c r="R89" s="169"/>
      <c r="S89" s="169">
        <f t="shared" si="30"/>
        <v>0.23162091829784026</v>
      </c>
      <c r="T89" s="169">
        <f t="shared" si="30"/>
        <v>0.32447693754608126</v>
      </c>
      <c r="U89" s="169">
        <f t="shared" si="30"/>
        <v>0.4971660252571932</v>
      </c>
      <c r="V89" s="159"/>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row>
    <row r="90" spans="1:48" x14ac:dyDescent="0.25" outlineLevel="1" collapsed="1">
      <c r="A90" s="168" t="s">
        <v>96</v>
      </c>
      <c r="B90" s="157"/>
      <c r="C90" s="169">
        <f t="shared" ref="C90" si="31">(C86/$B$87)^(1/C93)-1</f>
        <v>0.0005848399638512802</v>
      </c>
      <c r="D90" s="169"/>
      <c r="E90" s="169"/>
      <c r="F90" s="169"/>
      <c r="G90" s="169"/>
      <c r="H90" s="169"/>
      <c r="I90" s="169"/>
      <c r="J90" s="169"/>
      <c r="K90" s="169"/>
      <c r="L90" s="169"/>
      <c r="M90" s="169"/>
      <c r="N90" s="169"/>
      <c r="O90" s="169"/>
      <c r="P90" s="169"/>
      <c r="Q90" s="169"/>
      <c r="R90" s="169"/>
      <c r="S90" s="169">
        <f>(S86/$B$87)^(1/S93)-1</f>
        <v>0.009969901181655194</v>
      </c>
      <c r="T90" s="169">
        <f>(T86/$B$87)^(1/T93)-1</f>
        <v>0.012855458045742063</v>
      </c>
      <c r="U90" s="169">
        <f>(U86/$B$87)^(1/U93)-1</f>
        <v>0.017701543482209647</v>
      </c>
      <c r="V90" s="159"/>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row>
    <row r="91" spans="1:48" x14ac:dyDescent="0.25" outlineLevel="1" collapsed="1">
      <c r="A91" s="173" t="s">
        <v>97</v>
      </c>
      <c r="B91" s="174"/>
      <c r="C91" s="175"/>
      <c r="D91" s="175"/>
      <c r="E91" s="175"/>
      <c r="F91" s="175"/>
      <c r="G91" s="175"/>
      <c r="H91" s="175"/>
      <c r="I91" s="175"/>
      <c r="J91" s="175"/>
      <c r="K91" s="175"/>
      <c r="L91" s="175"/>
      <c r="M91" s="175"/>
      <c r="N91" s="175"/>
      <c r="O91" s="175"/>
      <c r="P91" s="175"/>
      <c r="Q91" s="175"/>
      <c r="R91" s="175"/>
      <c r="S91" s="175"/>
      <c r="T91" s="176"/>
      <c r="U91" s="176"/>
      <c r="V91" s="177">
        <f>SUM(C91:U91)</f>
        <v>0</v>
      </c>
      <c r="W91" s="178"/>
      <c r="X91" s="178"/>
      <c r="Y91" s="178"/>
      <c r="Z91" s="178"/>
      <c r="AA91" s="178"/>
      <c r="AB91" s="178"/>
      <c r="AC91" s="178"/>
      <c r="AD91" s="178"/>
      <c r="AE91" s="178"/>
      <c r="AF91" s="178"/>
      <c r="AG91" s="178"/>
      <c r="AH91" s="178"/>
      <c r="AI91" s="178"/>
      <c r="AJ91" s="178"/>
      <c r="AK91" s="178"/>
      <c r="AL91" s="178"/>
      <c r="AM91" s="178"/>
      <c r="AN91" s="178"/>
      <c r="AO91" s="178"/>
      <c r="AP91" s="178"/>
      <c r="AQ91" s="178"/>
      <c r="AR91" s="178"/>
      <c r="AS91" s="178"/>
      <c r="AT91" s="178"/>
      <c r="AU91" s="178"/>
      <c r="AV91" s="178"/>
    </row>
    <row r="92" spans="1:48" x14ac:dyDescent="0.25">
      <c r="A92" s="160"/>
      <c r="B92" s="157"/>
      <c r="C92" s="158"/>
      <c r="D92" s="158"/>
      <c r="E92" s="158"/>
      <c r="F92" s="158"/>
      <c r="G92" s="158"/>
      <c r="H92" s="158"/>
      <c r="I92" s="158"/>
      <c r="J92" s="158"/>
      <c r="K92" s="158"/>
      <c r="L92" s="158"/>
      <c r="M92" s="158"/>
      <c r="N92" s="158"/>
      <c r="O92" s="158"/>
      <c r="P92" s="158"/>
      <c r="Q92" s="158"/>
      <c r="R92" s="158"/>
      <c r="S92" s="158"/>
      <c r="T92" s="158"/>
      <c r="U92" s="158"/>
      <c r="V92" s="179"/>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row>
    <row r="93" spans="1:48" x14ac:dyDescent="0.25">
      <c r="A93" s="160" t="s">
        <v>98</v>
      </c>
      <c r="B93" s="157"/>
      <c r="C93" s="180">
        <f>S93-1</f>
        <v>20</v>
      </c>
      <c r="D93" s="180"/>
      <c r="E93" s="180"/>
      <c r="F93" s="180"/>
      <c r="G93" s="180"/>
      <c r="H93" s="180"/>
      <c r="I93" s="180"/>
      <c r="J93" s="180"/>
      <c r="K93" s="180"/>
      <c r="L93" s="180"/>
      <c r="M93" s="180"/>
      <c r="N93" s="180"/>
      <c r="O93" s="180"/>
      <c r="P93" s="180"/>
      <c r="Q93" s="180"/>
      <c r="R93" s="180"/>
      <c r="S93" s="180">
        <f>T93-1</f>
        <v>21</v>
      </c>
      <c r="T93" s="180">
        <f>2019-1997</f>
        <v>22</v>
      </c>
      <c r="U93" s="180">
        <f>2020-1997</f>
        <v>23</v>
      </c>
      <c r="V93" s="179">
        <f>SUM(C93:U93)</f>
        <v>86</v>
      </c>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row>
    <row r="94" spans="1:48" x14ac:dyDescent="0.25">
      <c r="A94" s="181"/>
      <c r="B94" s="182"/>
      <c r="C94" s="67"/>
      <c r="D94" s="67"/>
      <c r="E94" s="67"/>
      <c r="F94" s="67"/>
      <c r="G94" s="67"/>
      <c r="H94" s="67"/>
      <c r="I94" s="67"/>
      <c r="J94" s="67"/>
      <c r="K94" s="67"/>
      <c r="L94" s="67"/>
      <c r="M94" s="67"/>
      <c r="N94" s="67"/>
      <c r="O94" s="67"/>
      <c r="P94" s="67"/>
      <c r="Q94" s="67"/>
      <c r="R94" s="67"/>
      <c r="S94" s="67"/>
      <c r="T94" s="67"/>
      <c r="U94" s="67"/>
      <c r="V94" s="183"/>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row>
    <row r="95" spans="1:48" x14ac:dyDescent="0.25">
      <c r="A95" s="156" t="s">
        <v>99</v>
      </c>
      <c r="B95" s="157"/>
      <c r="C95" s="158"/>
      <c r="D95" s="158"/>
      <c r="E95" s="158"/>
      <c r="F95" s="158"/>
      <c r="G95" s="158"/>
      <c r="H95" s="158"/>
      <c r="I95" s="158"/>
      <c r="J95" s="158"/>
      <c r="K95" s="158"/>
      <c r="L95" s="158"/>
      <c r="M95" s="158"/>
      <c r="N95" s="158"/>
      <c r="O95" s="158"/>
      <c r="P95" s="158"/>
      <c r="Q95" s="158"/>
      <c r="R95" s="158"/>
      <c r="S95" s="158"/>
      <c r="T95" s="158"/>
      <c r="U95" s="158"/>
      <c r="V95" s="159"/>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row>
    <row r="96" spans="1:48" x14ac:dyDescent="0.25" outlineLevel="1" collapsed="1">
      <c r="A96" s="161" t="s">
        <v>100</v>
      </c>
      <c r="B96" s="162"/>
      <c r="C96" s="163"/>
      <c r="D96" s="163"/>
      <c r="E96" s="163"/>
      <c r="F96" s="163"/>
      <c r="G96" s="163"/>
      <c r="H96" s="163"/>
      <c r="I96" s="163"/>
      <c r="J96" s="163"/>
      <c r="K96" s="163"/>
      <c r="L96" s="163"/>
      <c r="M96" s="163"/>
      <c r="N96" s="163"/>
      <c r="O96" s="163"/>
      <c r="P96" s="163"/>
      <c r="Q96" s="163"/>
      <c r="R96" s="163"/>
      <c r="S96" s="163"/>
      <c r="T96" s="163"/>
      <c r="U96" s="163"/>
      <c r="V96" s="164"/>
      <c r="W96" s="165"/>
      <c r="X96" s="165"/>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65"/>
      <c r="AU96" s="165"/>
      <c r="AV96" s="165"/>
    </row>
    <row r="97" spans="1:48" x14ac:dyDescent="0.25" outlineLevel="1" collapsed="1">
      <c r="A97" s="166" t="s">
        <v>101</v>
      </c>
      <c r="B97" s="157"/>
      <c r="C97" s="184">
        <f>C35</f>
        <v>161385.990816</v>
      </c>
      <c r="D97" s="184"/>
      <c r="E97" s="184"/>
      <c r="F97" s="184"/>
      <c r="G97" s="184"/>
      <c r="H97" s="184"/>
      <c r="I97" s="184"/>
      <c r="J97" s="184"/>
      <c r="K97" s="184"/>
      <c r="L97" s="184"/>
      <c r="M97" s="184"/>
      <c r="N97" s="184"/>
      <c r="O97" s="184"/>
      <c r="P97" s="184"/>
      <c r="Q97" s="184"/>
      <c r="R97" s="184"/>
      <c r="S97" s="184">
        <f>S35</f>
        <v>349666.25181000005</v>
      </c>
      <c r="T97" s="184">
        <f>T35</f>
        <v>349666.25181000005</v>
      </c>
      <c r="U97" s="184">
        <f>U35</f>
        <v>349666.25181000005</v>
      </c>
      <c r="V97" s="159"/>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row>
    <row r="98" spans="1:48" x14ac:dyDescent="0.25" outlineLevel="1" collapsed="1">
      <c r="A98" s="166" t="s">
        <v>102</v>
      </c>
      <c r="B98" s="157"/>
      <c r="C98" s="179" t="e">
        <f>((C19+C21)*(C26+C28+C27))+((C20)*(#REF!+#REF!+#REF!))</f>
        <v>#REF!</v>
      </c>
      <c r="D98" s="179"/>
      <c r="E98" s="179"/>
      <c r="F98" s="179"/>
      <c r="G98" s="179"/>
      <c r="H98" s="179"/>
      <c r="I98" s="179"/>
      <c r="J98" s="179"/>
      <c r="K98" s="179"/>
      <c r="L98" s="179"/>
      <c r="M98" s="179"/>
      <c r="N98" s="179"/>
      <c r="O98" s="179"/>
      <c r="P98" s="179"/>
      <c r="Q98" s="179"/>
      <c r="R98" s="179"/>
      <c r="S98" s="179">
        <f>((S19+S21)*(S26+S28+S27))+((S20)*(C26+C28+C27))</f>
        <v>0</v>
      </c>
      <c r="T98" s="179">
        <f>((T19+T21)*(T26+T28+T27))+((T20)*(S26+S28+S27))</f>
        <v>0</v>
      </c>
      <c r="U98" s="179">
        <f>((U19+U21)*(U26+U28+U27))+((U20)*(T26+T28+T27))</f>
        <v>0</v>
      </c>
      <c r="V98" s="159"/>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row>
    <row r="99" spans="1:48" x14ac:dyDescent="0.25" outlineLevel="1" collapsed="1">
      <c r="A99" s="166" t="s">
        <v>103</v>
      </c>
      <c r="B99" s="157"/>
      <c r="C99" s="158">
        <f>SUM($C$35:C35)</f>
        <v>161385.990816</v>
      </c>
      <c r="D99" s="158"/>
      <c r="E99" s="158"/>
      <c r="F99" s="158"/>
      <c r="G99" s="158"/>
      <c r="H99" s="158"/>
      <c r="I99" s="158"/>
      <c r="J99" s="158"/>
      <c r="K99" s="158"/>
      <c r="L99" s="158"/>
      <c r="M99" s="158"/>
      <c r="N99" s="158"/>
      <c r="O99" s="158"/>
      <c r="P99" s="158"/>
      <c r="Q99" s="158"/>
      <c r="R99" s="158"/>
      <c r="S99" s="179">
        <f>SUM($C$35:S35)</f>
        <v>5453181.0197760025</v>
      </c>
      <c r="T99" s="185">
        <f>SUM($C$35:T35)</f>
        <v>5802847.271586003</v>
      </c>
      <c r="U99" s="185">
        <f>SUM($C$35:U35)</f>
        <v>6152513.523396003</v>
      </c>
      <c r="V99" s="159"/>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row>
    <row r="100" spans="1:48" x14ac:dyDescent="0.25" outlineLevel="1" collapsed="1">
      <c r="A100" s="166" t="s">
        <v>104</v>
      </c>
      <c r="B100" s="157"/>
      <c r="C100" s="158" t="e">
        <f>SUM($C$98:C98)</f>
        <v>#REF!</v>
      </c>
      <c r="D100" s="158"/>
      <c r="E100" s="158"/>
      <c r="F100" s="158"/>
      <c r="G100" s="158"/>
      <c r="H100" s="158"/>
      <c r="I100" s="158"/>
      <c r="J100" s="158"/>
      <c r="K100" s="158"/>
      <c r="L100" s="158"/>
      <c r="M100" s="158"/>
      <c r="N100" s="158"/>
      <c r="O100" s="158"/>
      <c r="P100" s="158"/>
      <c r="Q100" s="158"/>
      <c r="R100" s="158"/>
      <c r="S100" s="179" t="e">
        <f>SUM($C$98:S98)</f>
        <v>#REF!</v>
      </c>
      <c r="T100" s="185" t="e">
        <f>SUM($C$98:T98)</f>
        <v>#REF!</v>
      </c>
      <c r="U100" s="185" t="e">
        <f>SUM($C$98:U98)</f>
        <v>#REF!</v>
      </c>
      <c r="V100" s="159"/>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row>
    <row r="101" spans="1:48" x14ac:dyDescent="0.25" outlineLevel="1" collapsed="1">
      <c r="A101" s="168" t="s">
        <v>105</v>
      </c>
      <c r="B101" s="157"/>
      <c r="C101" s="169" t="e">
        <f t="shared" ref="C101:S101" si="32">C97/C98</f>
        <v>#REF!</v>
      </c>
      <c r="D101" s="169"/>
      <c r="E101" s="169"/>
      <c r="F101" s="169"/>
      <c r="G101" s="169"/>
      <c r="H101" s="169"/>
      <c r="I101" s="169"/>
      <c r="J101" s="169"/>
      <c r="K101" s="169"/>
      <c r="L101" s="169"/>
      <c r="M101" s="169"/>
      <c r="N101" s="169"/>
      <c r="O101" s="169"/>
      <c r="P101" s="169"/>
      <c r="Q101" s="169"/>
      <c r="R101" s="169"/>
      <c r="S101" s="169" t="e">
        <f t="shared" si="32"/>
        <v>#DIV/0!</v>
      </c>
      <c r="T101" s="169" t="e">
        <f>T97/T98</f>
        <v>#DIV/0!</v>
      </c>
      <c r="U101" s="169" t="e">
        <f>U97/U98</f>
        <v>#DIV/0!</v>
      </c>
      <c r="V101" s="159"/>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row>
    <row r="102" spans="1:48" x14ac:dyDescent="0.25" outlineLevel="1" collapsed="1">
      <c r="A102" s="168" t="s">
        <v>106</v>
      </c>
      <c r="B102" s="157"/>
      <c r="C102" s="169" t="e">
        <f t="shared" ref="C102:S102" si="33">C99/C100</f>
        <v>#REF!</v>
      </c>
      <c r="D102" s="169"/>
      <c r="E102" s="169"/>
      <c r="F102" s="169"/>
      <c r="G102" s="169"/>
      <c r="H102" s="169"/>
      <c r="I102" s="169"/>
      <c r="J102" s="169"/>
      <c r="K102" s="169"/>
      <c r="L102" s="169"/>
      <c r="M102" s="169"/>
      <c r="N102" s="169"/>
      <c r="O102" s="169"/>
      <c r="P102" s="169"/>
      <c r="Q102" s="169"/>
      <c r="R102" s="169"/>
      <c r="S102" s="169" t="e">
        <f t="shared" si="33"/>
        <v>#REF!</v>
      </c>
      <c r="T102" s="186" t="e">
        <f>T99/T100</f>
        <v>#REF!</v>
      </c>
      <c r="U102" s="186" t="e">
        <f>U99/U100</f>
        <v>#REF!</v>
      </c>
      <c r="V102" s="159"/>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row>
    <row r="103" spans="1:48" x14ac:dyDescent="0.25" outlineLevel="1" collapsed="1">
      <c r="A103" s="168"/>
      <c r="B103" s="157"/>
      <c r="C103" s="169"/>
      <c r="D103" s="169"/>
      <c r="E103" s="169"/>
      <c r="F103" s="169"/>
      <c r="G103" s="169"/>
      <c r="H103" s="169"/>
      <c r="I103" s="169"/>
      <c r="J103" s="169"/>
      <c r="K103" s="169"/>
      <c r="L103" s="169"/>
      <c r="M103" s="169"/>
      <c r="N103" s="169"/>
      <c r="O103" s="169"/>
      <c r="P103" s="169"/>
      <c r="Q103" s="169"/>
      <c r="R103" s="169"/>
      <c r="S103" s="169"/>
      <c r="T103" s="158"/>
      <c r="U103" s="158"/>
      <c r="V103" s="159"/>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row>
    <row r="104" spans="1:48" x14ac:dyDescent="0.25" outlineLevel="1" collapsed="1">
      <c r="A104" s="160" t="s">
        <v>107</v>
      </c>
      <c r="B104" s="157"/>
      <c r="C104" s="169"/>
      <c r="D104" s="169"/>
      <c r="E104" s="169"/>
      <c r="F104" s="169"/>
      <c r="G104" s="169"/>
      <c r="H104" s="169"/>
      <c r="I104" s="169"/>
      <c r="J104" s="169"/>
      <c r="K104" s="169"/>
      <c r="L104" s="169"/>
      <c r="M104" s="169"/>
      <c r="N104" s="169"/>
      <c r="O104" s="169"/>
      <c r="P104" s="169"/>
      <c r="Q104" s="169"/>
      <c r="R104" s="169"/>
      <c r="S104" s="169"/>
      <c r="T104" s="158"/>
      <c r="U104" s="158"/>
      <c r="V104" s="159"/>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row>
    <row r="105" spans="1:48" x14ac:dyDescent="0.25" outlineLevel="1" collapsed="1">
      <c r="A105" s="166" t="s">
        <v>101</v>
      </c>
      <c r="B105" s="157"/>
      <c r="C105" s="167">
        <f>C35-C46</f>
        <v>68651.95413600001</v>
      </c>
      <c r="D105" s="167"/>
      <c r="E105" s="167"/>
      <c r="F105" s="167"/>
      <c r="G105" s="167"/>
      <c r="H105" s="167"/>
      <c r="I105" s="167"/>
      <c r="J105" s="167"/>
      <c r="K105" s="167"/>
      <c r="L105" s="167"/>
      <c r="M105" s="167"/>
      <c r="N105" s="167"/>
      <c r="O105" s="167"/>
      <c r="P105" s="167"/>
      <c r="Q105" s="167"/>
      <c r="R105" s="167"/>
      <c r="S105" s="184">
        <f>S35-S46</f>
        <v>146204.86178400007</v>
      </c>
      <c r="T105" s="184">
        <f>T35-T46</f>
        <v>146204.86178400007</v>
      </c>
      <c r="U105" s="184">
        <f>U35-U46</f>
        <v>146204.86178400007</v>
      </c>
      <c r="V105" s="159"/>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row>
    <row r="106" spans="1:48" x14ac:dyDescent="0.25" outlineLevel="1" collapsed="1">
      <c r="A106" s="166" t="s">
        <v>102</v>
      </c>
      <c r="B106" s="157"/>
      <c r="C106" s="158" t="e">
        <f t="shared" ref="C106:U106" si="34">C98</f>
        <v>#REF!</v>
      </c>
      <c r="D106" s="158"/>
      <c r="E106" s="158"/>
      <c r="F106" s="158"/>
      <c r="G106" s="158"/>
      <c r="H106" s="158"/>
      <c r="I106" s="158"/>
      <c r="J106" s="158"/>
      <c r="K106" s="158"/>
      <c r="L106" s="158"/>
      <c r="M106" s="158"/>
      <c r="N106" s="158"/>
      <c r="O106" s="158"/>
      <c r="P106" s="158"/>
      <c r="Q106" s="158"/>
      <c r="R106" s="158"/>
      <c r="S106" s="179">
        <f t="shared" si="34"/>
        <v>0</v>
      </c>
      <c r="T106" s="179">
        <f t="shared" si="34"/>
        <v>0</v>
      </c>
      <c r="U106" s="179">
        <f t="shared" si="34"/>
        <v>0</v>
      </c>
      <c r="V106" s="159"/>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row>
    <row r="107" spans="1:48" x14ac:dyDescent="0.25" outlineLevel="1" collapsed="1">
      <c r="A107" s="166" t="s">
        <v>103</v>
      </c>
      <c r="B107" s="157"/>
      <c r="C107" s="158">
        <f>SUM($C$64:C66)</f>
        <v>68651.954136</v>
      </c>
      <c r="D107" s="158"/>
      <c r="E107" s="158"/>
      <c r="F107" s="158"/>
      <c r="G107" s="158"/>
      <c r="H107" s="158"/>
      <c r="I107" s="158"/>
      <c r="J107" s="158"/>
      <c r="K107" s="158"/>
      <c r="L107" s="158"/>
      <c r="M107" s="158"/>
      <c r="N107" s="158"/>
      <c r="O107" s="158"/>
      <c r="P107" s="158"/>
      <c r="Q107" s="158"/>
      <c r="R107" s="158"/>
      <c r="S107" s="179">
        <f>SUM($C$64:S66)</f>
        <v>2281293.7426799987</v>
      </c>
      <c r="T107" s="185">
        <f>SUM($C$64:T66)</f>
        <v>2427498.6044639973</v>
      </c>
      <c r="U107" s="185">
        <f>SUM($C$64:U66)</f>
        <v>2573703.4662479972</v>
      </c>
      <c r="V107" s="159"/>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row>
    <row r="108" spans="1:48" x14ac:dyDescent="0.25" outlineLevel="1" collapsed="1">
      <c r="A108" s="166" t="s">
        <v>104</v>
      </c>
      <c r="B108" s="157"/>
      <c r="C108" s="158" t="e">
        <f t="shared" ref="C108:U108" si="35">C100</f>
        <v>#REF!</v>
      </c>
      <c r="D108" s="158"/>
      <c r="E108" s="158"/>
      <c r="F108" s="158"/>
      <c r="G108" s="158"/>
      <c r="H108" s="158"/>
      <c r="I108" s="158"/>
      <c r="J108" s="158"/>
      <c r="K108" s="158"/>
      <c r="L108" s="158"/>
      <c r="M108" s="158"/>
      <c r="N108" s="158"/>
      <c r="O108" s="158"/>
      <c r="P108" s="158"/>
      <c r="Q108" s="158"/>
      <c r="R108" s="158"/>
      <c r="S108" s="179" t="e">
        <f t="shared" si="35"/>
        <v>#REF!</v>
      </c>
      <c r="T108" s="185" t="e">
        <f t="shared" si="35"/>
        <v>#REF!</v>
      </c>
      <c r="U108" s="185" t="e">
        <f t="shared" si="35"/>
        <v>#REF!</v>
      </c>
      <c r="V108" s="159"/>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row>
    <row r="109" spans="1:48" x14ac:dyDescent="0.25" outlineLevel="1" collapsed="1">
      <c r="A109" s="168" t="s">
        <v>105</v>
      </c>
      <c r="B109" s="157"/>
      <c r="C109" s="169" t="e">
        <f t="shared" ref="C109:S109" si="36">(C105-C106)/C106</f>
        <v>#REF!</v>
      </c>
      <c r="D109" s="169"/>
      <c r="E109" s="169"/>
      <c r="F109" s="169"/>
      <c r="G109" s="169"/>
      <c r="H109" s="169"/>
      <c r="I109" s="169"/>
      <c r="J109" s="169"/>
      <c r="K109" s="169"/>
      <c r="L109" s="169"/>
      <c r="M109" s="169"/>
      <c r="N109" s="169"/>
      <c r="O109" s="169"/>
      <c r="P109" s="169"/>
      <c r="Q109" s="169"/>
      <c r="R109" s="169"/>
      <c r="S109" s="187" t="e">
        <f t="shared" si="36"/>
        <v>#DIV/0!</v>
      </c>
      <c r="T109" s="187" t="e">
        <f>(T105-T106)/T106</f>
        <v>#DIV/0!</v>
      </c>
      <c r="U109" s="187" t="e">
        <f>(U105-U106)/U106</f>
        <v>#DIV/0!</v>
      </c>
      <c r="V109" s="159"/>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row>
    <row r="110" spans="1:48" x14ac:dyDescent="0.25">
      <c r="A110" s="173" t="s">
        <v>106</v>
      </c>
      <c r="B110" s="174"/>
      <c r="C110" s="175" t="e">
        <f t="shared" ref="C110:S110" si="37">(C107-C108)/C108</f>
        <v>#REF!</v>
      </c>
      <c r="D110" s="175"/>
      <c r="E110" s="175"/>
      <c r="F110" s="175"/>
      <c r="G110" s="175"/>
      <c r="H110" s="175"/>
      <c r="I110" s="175"/>
      <c r="J110" s="175"/>
      <c r="K110" s="175"/>
      <c r="L110" s="175"/>
      <c r="M110" s="175"/>
      <c r="N110" s="175"/>
      <c r="O110" s="175"/>
      <c r="P110" s="175"/>
      <c r="Q110" s="175"/>
      <c r="R110" s="175"/>
      <c r="S110" s="177" t="e">
        <f t="shared" si="37"/>
        <v>#REF!</v>
      </c>
      <c r="T110" s="188" t="e">
        <f>(T107-T108)/T108</f>
        <v>#REF!</v>
      </c>
      <c r="U110" s="188" t="e">
        <f>(U107-U108)/U108</f>
        <v>#REF!</v>
      </c>
      <c r="V110" s="189"/>
      <c r="W110" s="178"/>
      <c r="X110" s="178"/>
      <c r="Y110" s="178"/>
      <c r="Z110" s="178"/>
      <c r="AA110" s="178"/>
      <c r="AB110" s="178"/>
      <c r="AC110" s="178"/>
      <c r="AD110" s="178"/>
      <c r="AE110" s="178"/>
      <c r="AF110" s="178"/>
      <c r="AG110" s="178"/>
      <c r="AH110" s="178"/>
      <c r="AI110" s="178"/>
      <c r="AJ110" s="178"/>
      <c r="AK110" s="178"/>
      <c r="AL110" s="178"/>
      <c r="AM110" s="178"/>
      <c r="AN110" s="178"/>
      <c r="AO110" s="178"/>
      <c r="AP110" s="178"/>
      <c r="AQ110" s="178"/>
      <c r="AR110" s="178"/>
      <c r="AS110" s="178"/>
      <c r="AT110" s="178"/>
      <c r="AU110" s="178"/>
      <c r="AV110" s="178"/>
    </row>
    <row r="111" spans="1:48" x14ac:dyDescent="0.25">
      <c r="A111" s="160"/>
      <c r="B111" s="157"/>
      <c r="C111" s="158"/>
      <c r="D111" s="158"/>
      <c r="E111" s="158"/>
      <c r="F111" s="158"/>
      <c r="G111" s="158"/>
      <c r="H111" s="158"/>
      <c r="I111" s="158"/>
      <c r="J111" s="158"/>
      <c r="K111" s="158"/>
      <c r="L111" s="158"/>
      <c r="M111" s="158"/>
      <c r="N111" s="158"/>
      <c r="O111" s="158"/>
      <c r="P111" s="158"/>
      <c r="Q111" s="158"/>
      <c r="R111" s="158"/>
      <c r="S111" s="158"/>
      <c r="T111" s="158"/>
      <c r="U111" s="158"/>
      <c r="V111" s="179"/>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row>
    <row r="112" spans="1:48" x14ac:dyDescent="0.25">
      <c r="A112" s="160"/>
      <c r="B112" s="157"/>
      <c r="C112" s="190"/>
      <c r="D112" s="190"/>
      <c r="E112" s="190"/>
      <c r="F112" s="190"/>
      <c r="G112" s="190"/>
      <c r="H112" s="190"/>
      <c r="I112" s="190"/>
      <c r="J112" s="190"/>
      <c r="K112" s="190"/>
      <c r="L112" s="190"/>
      <c r="M112" s="190"/>
      <c r="N112" s="190"/>
      <c r="O112" s="190"/>
      <c r="P112" s="190"/>
      <c r="Q112" s="190"/>
      <c r="R112" s="190"/>
      <c r="S112" s="190"/>
      <c r="T112" s="157"/>
      <c r="U112" s="157"/>
      <c r="V112" s="179"/>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row>
    <row r="113" spans="1:48" x14ac:dyDescent="0.25">
      <c r="A113" s="151"/>
      <c r="B113" s="86"/>
      <c r="C113" s="86"/>
      <c r="D113" s="86"/>
      <c r="E113" s="86"/>
      <c r="F113" s="86"/>
      <c r="G113" s="86"/>
      <c r="H113" s="86"/>
      <c r="I113" s="86"/>
      <c r="J113" s="86"/>
      <c r="K113" s="86"/>
      <c r="L113" s="86"/>
      <c r="M113" s="86"/>
      <c r="N113" s="86"/>
      <c r="O113" s="86"/>
      <c r="P113" s="86"/>
      <c r="Q113" s="86"/>
      <c r="R113" s="86"/>
      <c r="S113" s="86"/>
      <c r="T113" s="86"/>
      <c r="U113" s="86"/>
      <c r="V113" s="86"/>
      <c r="W113" s="117"/>
      <c r="X113" s="86"/>
      <c r="Y113" s="86"/>
      <c r="Z113" s="86"/>
      <c r="AA113" s="86"/>
      <c r="AB113" s="86"/>
      <c r="AC113" s="9"/>
      <c r="AD113" s="9"/>
      <c r="AE113" s="9"/>
      <c r="AF113" s="9"/>
      <c r="AG113" s="9"/>
      <c r="AH113" s="9"/>
      <c r="AI113" s="9"/>
      <c r="AJ113" s="9"/>
      <c r="AK113" s="9"/>
      <c r="AL113" s="9"/>
      <c r="AM113" s="9"/>
      <c r="AN113" s="9"/>
      <c r="AO113" s="9"/>
      <c r="AP113" s="9"/>
      <c r="AQ113" s="9"/>
      <c r="AR113" s="9"/>
      <c r="AS113" s="9"/>
      <c r="AT113" s="9"/>
      <c r="AU113" s="9"/>
      <c r="AV113" s="9"/>
    </row>
    <row r="114" spans="1:48" x14ac:dyDescent="0.25">
      <c r="A114" s="151"/>
      <c r="B114" s="86"/>
      <c r="C114" s="86"/>
      <c r="D114" s="86"/>
      <c r="E114" s="86"/>
      <c r="F114" s="86"/>
      <c r="G114" s="86"/>
      <c r="H114" s="86"/>
      <c r="I114" s="86"/>
      <c r="J114" s="86"/>
      <c r="K114" s="86"/>
      <c r="L114" s="86"/>
      <c r="M114" s="86"/>
      <c r="N114" s="86"/>
      <c r="O114" s="86"/>
      <c r="P114" s="86"/>
      <c r="Q114" s="86"/>
      <c r="R114" s="86"/>
      <c r="S114" s="86"/>
      <c r="T114" s="86"/>
      <c r="U114" s="86"/>
      <c r="V114" s="86"/>
      <c r="W114" s="117"/>
      <c r="X114" s="86"/>
      <c r="Y114" s="86"/>
      <c r="Z114" s="86"/>
      <c r="AA114" s="86"/>
      <c r="AB114" s="86"/>
      <c r="AC114" s="9"/>
      <c r="AD114" s="9"/>
      <c r="AE114" s="9"/>
      <c r="AF114" s="9"/>
      <c r="AG114" s="9"/>
      <c r="AH114" s="9"/>
      <c r="AI114" s="9"/>
      <c r="AJ114" s="9"/>
      <c r="AK114" s="9"/>
      <c r="AL114" s="9"/>
      <c r="AM114" s="9"/>
      <c r="AN114" s="9"/>
      <c r="AO114" s="9"/>
      <c r="AP114" s="9"/>
      <c r="AQ114" s="9"/>
      <c r="AR114" s="9"/>
      <c r="AS114" s="9"/>
      <c r="AT114" s="9"/>
      <c r="AU114" s="9"/>
      <c r="AV114" s="9"/>
    </row>
    <row r="115" spans="1:48" x14ac:dyDescent="0.25">
      <c r="A115" s="151"/>
      <c r="B115" s="86"/>
      <c r="C115" s="86"/>
      <c r="D115" s="86"/>
      <c r="E115" s="86"/>
      <c r="F115" s="86"/>
      <c r="G115" s="86"/>
      <c r="H115" s="86"/>
      <c r="I115" s="86"/>
      <c r="J115" s="86"/>
      <c r="K115" s="86"/>
      <c r="L115" s="86"/>
      <c r="M115" s="86"/>
      <c r="N115" s="86"/>
      <c r="O115" s="86"/>
      <c r="P115" s="86"/>
      <c r="Q115" s="86"/>
      <c r="R115" s="86"/>
      <c r="S115" s="86"/>
      <c r="T115" s="86"/>
      <c r="U115" s="86"/>
      <c r="V115" s="86"/>
      <c r="W115" s="117"/>
      <c r="X115" s="86"/>
      <c r="Y115" s="86"/>
      <c r="Z115" s="86"/>
      <c r="AA115" s="86"/>
      <c r="AB115" s="86"/>
      <c r="AC115" s="9"/>
      <c r="AD115" s="9"/>
      <c r="AE115" s="9"/>
      <c r="AF115" s="9"/>
      <c r="AG115" s="9"/>
      <c r="AH115" s="9"/>
      <c r="AI115" s="9"/>
      <c r="AJ115" s="9"/>
      <c r="AK115" s="9"/>
      <c r="AL115" s="9"/>
      <c r="AM115" s="9"/>
      <c r="AN115" s="9"/>
      <c r="AO115" s="9"/>
      <c r="AP115" s="9"/>
      <c r="AQ115" s="9"/>
      <c r="AR115" s="9"/>
      <c r="AS115" s="9"/>
      <c r="AT115" s="9"/>
      <c r="AU115" s="9"/>
      <c r="AV115" s="9"/>
    </row>
    <row r="116" spans="1:48" x14ac:dyDescent="0.25">
      <c r="A116" s="151"/>
      <c r="B116" s="86"/>
      <c r="C116" s="86"/>
      <c r="D116" s="86"/>
      <c r="E116" s="86"/>
      <c r="F116" s="86"/>
      <c r="G116" s="86"/>
      <c r="H116" s="86"/>
      <c r="I116" s="86"/>
      <c r="J116" s="86"/>
      <c r="K116" s="86"/>
      <c r="L116" s="86"/>
      <c r="M116" s="86"/>
      <c r="N116" s="86"/>
      <c r="O116" s="86"/>
      <c r="P116" s="86"/>
      <c r="Q116" s="86"/>
      <c r="R116" s="86"/>
      <c r="S116" s="86"/>
      <c r="T116" s="86"/>
      <c r="U116" s="86"/>
      <c r="V116" s="86"/>
      <c r="W116" s="117"/>
      <c r="X116" s="86"/>
      <c r="Y116" s="86"/>
      <c r="Z116" s="86"/>
      <c r="AA116" s="86"/>
      <c r="AB116" s="86"/>
      <c r="AC116" s="9"/>
      <c r="AD116" s="9"/>
      <c r="AE116" s="9"/>
      <c r="AF116" s="9"/>
      <c r="AG116" s="9"/>
      <c r="AH116" s="9"/>
      <c r="AI116" s="9"/>
      <c r="AJ116" s="9"/>
      <c r="AK116" s="9"/>
      <c r="AL116" s="9"/>
      <c r="AM116" s="9"/>
      <c r="AN116" s="9"/>
      <c r="AO116" s="9"/>
      <c r="AP116" s="9"/>
      <c r="AQ116" s="9"/>
      <c r="AR116" s="9"/>
      <c r="AS116" s="9"/>
      <c r="AT116" s="9"/>
      <c r="AU116" s="9"/>
      <c r="AV116" s="9"/>
    </row>
    <row r="117" spans="1:48" x14ac:dyDescent="0.25">
      <c r="A117" s="151"/>
      <c r="B117" s="86"/>
      <c r="C117" s="86"/>
      <c r="D117" s="86"/>
      <c r="E117" s="86"/>
      <c r="F117" s="86"/>
      <c r="G117" s="86"/>
      <c r="H117" s="86"/>
      <c r="I117" s="86"/>
      <c r="J117" s="86"/>
      <c r="K117" s="86"/>
      <c r="L117" s="86"/>
      <c r="M117" s="86"/>
      <c r="N117" s="86"/>
      <c r="O117" s="86"/>
      <c r="P117" s="86"/>
      <c r="Q117" s="86"/>
      <c r="R117" s="86"/>
      <c r="S117" s="86"/>
      <c r="T117" s="86"/>
      <c r="U117" s="86"/>
      <c r="V117" s="86"/>
      <c r="W117" s="117"/>
      <c r="X117" s="86"/>
      <c r="Y117" s="86"/>
      <c r="Z117" s="86"/>
      <c r="AA117" s="86"/>
      <c r="AB117" s="86"/>
      <c r="AC117" s="9"/>
      <c r="AD117" s="9"/>
      <c r="AE117" s="9"/>
      <c r="AF117" s="9"/>
      <c r="AG117" s="9"/>
      <c r="AH117" s="9"/>
      <c r="AI117" s="9"/>
      <c r="AJ117" s="9"/>
      <c r="AK117" s="9"/>
      <c r="AL117" s="9"/>
      <c r="AM117" s="9"/>
      <c r="AN117" s="9"/>
      <c r="AO117" s="9"/>
      <c r="AP117" s="9"/>
      <c r="AQ117" s="9"/>
      <c r="AR117" s="9"/>
      <c r="AS117" s="9"/>
      <c r="AT117" s="9"/>
      <c r="AU117" s="9"/>
      <c r="AV117" s="9"/>
    </row>
    <row r="118" ht="18" customHeight="1" spans="1:48" x14ac:dyDescent="0.25">
      <c r="A118" s="151"/>
      <c r="B118" s="86"/>
      <c r="C118" s="86"/>
      <c r="D118" s="86"/>
      <c r="E118" s="86"/>
      <c r="F118" s="86"/>
      <c r="G118" s="86">
        <f>I104857</f>
        <v>0</v>
      </c>
      <c r="H118" s="86"/>
      <c r="I118" s="86"/>
      <c r="J118" s="86"/>
      <c r="K118" s="86"/>
      <c r="L118" s="86"/>
      <c r="M118" s="86"/>
      <c r="N118" s="86"/>
      <c r="O118" s="86"/>
      <c r="P118" s="86"/>
      <c r="Q118" s="86"/>
      <c r="R118" s="86"/>
      <c r="S118" s="86"/>
      <c r="T118" s="86"/>
      <c r="U118" s="86"/>
      <c r="V118" s="86"/>
      <c r="W118" s="117"/>
      <c r="X118" s="86"/>
      <c r="Y118" s="86"/>
      <c r="Z118" s="86"/>
      <c r="AA118" s="86"/>
      <c r="AB118" s="86"/>
      <c r="AC118" s="9"/>
      <c r="AD118" s="9"/>
      <c r="AE118" s="9"/>
      <c r="AF118" s="9"/>
      <c r="AG118" s="9"/>
      <c r="AH118" s="9"/>
      <c r="AI118" s="9"/>
      <c r="AJ118" s="9"/>
      <c r="AK118" s="9"/>
      <c r="AL118" s="9"/>
      <c r="AM118" s="9"/>
      <c r="AN118" s="9"/>
      <c r="AO118" s="9"/>
      <c r="AP118" s="9"/>
      <c r="AQ118" s="9"/>
      <c r="AR118" s="9"/>
      <c r="AS118" s="9"/>
      <c r="AT118" s="9"/>
      <c r="AU118" s="9"/>
      <c r="AV118" s="9"/>
    </row>
    <row r="119" spans="1:48" x14ac:dyDescent="0.25">
      <c r="A119" s="151"/>
      <c r="B119" s="86"/>
      <c r="C119" s="86"/>
      <c r="D119" s="86"/>
      <c r="E119" s="86"/>
      <c r="F119" s="86"/>
      <c r="G119" s="86"/>
      <c r="H119" s="86"/>
      <c r="I119" s="86"/>
      <c r="J119" s="86"/>
      <c r="K119" s="86"/>
      <c r="L119" s="86"/>
      <c r="M119" s="86"/>
      <c r="N119" s="86"/>
      <c r="O119" s="86"/>
      <c r="P119" s="86"/>
      <c r="Q119" s="86"/>
      <c r="R119" s="86"/>
      <c r="S119" s="86"/>
      <c r="T119" s="86"/>
      <c r="U119" s="86"/>
      <c r="V119" s="86"/>
      <c r="W119" s="117"/>
      <c r="X119" s="86"/>
      <c r="Y119" s="86"/>
      <c r="Z119" s="86"/>
      <c r="AA119" s="86"/>
      <c r="AB119" s="86"/>
      <c r="AC119" s="9"/>
      <c r="AD119" s="9"/>
      <c r="AE119" s="9"/>
      <c r="AF119" s="9"/>
      <c r="AG119" s="9"/>
      <c r="AH119" s="9"/>
      <c r="AI119" s="9"/>
      <c r="AJ119" s="9"/>
      <c r="AK119" s="9"/>
      <c r="AL119" s="9"/>
      <c r="AM119" s="9"/>
      <c r="AN119" s="9"/>
      <c r="AO119" s="9"/>
      <c r="AP119" s="9"/>
      <c r="AQ119" s="9"/>
      <c r="AR119" s="9"/>
      <c r="AS119" s="9"/>
      <c r="AT119" s="9"/>
      <c r="AU119" s="9"/>
      <c r="AV119" s="9"/>
    </row>
    <row r="120" spans="1:48" x14ac:dyDescent="0.25">
      <c r="A120" s="86"/>
      <c r="B120" s="86"/>
      <c r="C120" s="117">
        <f>-C20*C29</f>
        <v>0</v>
      </c>
      <c r="D120" s="117"/>
      <c r="E120" s="117"/>
      <c r="F120" s="117"/>
      <c r="G120" s="117"/>
      <c r="H120" s="117"/>
      <c r="I120" s="117"/>
      <c r="J120" s="117"/>
      <c r="K120" s="117"/>
      <c r="L120" s="117"/>
      <c r="M120" s="117"/>
      <c r="N120" s="117"/>
      <c r="O120" s="117"/>
      <c r="P120" s="117"/>
      <c r="Q120" s="117"/>
      <c r="R120" s="117"/>
      <c r="S120" s="117">
        <f>-S20*S29</f>
        <v>0</v>
      </c>
      <c r="T120" s="117">
        <f>-T20*T29</f>
        <v>0</v>
      </c>
      <c r="U120" s="117">
        <f>-U20*U29</f>
        <v>0</v>
      </c>
      <c r="V120" s="86"/>
      <c r="W120" s="117">
        <f>SUM(C120:V120)</f>
        <v>0</v>
      </c>
      <c r="X120" s="86"/>
      <c r="Y120" s="86"/>
      <c r="Z120" s="86"/>
      <c r="AA120" s="86"/>
      <c r="AB120" s="86"/>
      <c r="AC120" s="9"/>
      <c r="AD120" s="9"/>
      <c r="AE120" s="9"/>
      <c r="AF120" s="9"/>
      <c r="AG120" s="9"/>
      <c r="AH120" s="9"/>
      <c r="AI120" s="9"/>
      <c r="AJ120" s="9"/>
      <c r="AK120" s="9"/>
      <c r="AL120" s="9"/>
      <c r="AM120" s="9"/>
      <c r="AN120" s="9"/>
      <c r="AO120" s="9"/>
      <c r="AP120" s="9"/>
      <c r="AQ120" s="9"/>
      <c r="AR120" s="9"/>
      <c r="AS120" s="9"/>
      <c r="AT120" s="9"/>
      <c r="AU120" s="9"/>
      <c r="AV120" s="9"/>
    </row>
    <row r="121" spans="1:48" x14ac:dyDescent="0.25">
      <c r="A121" s="86"/>
      <c r="B121" s="86"/>
      <c r="C121" s="117">
        <f>C35</f>
        <v>161385.990816</v>
      </c>
      <c r="D121" s="117"/>
      <c r="E121" s="117"/>
      <c r="F121" s="117"/>
      <c r="G121" s="117"/>
      <c r="H121" s="117"/>
      <c r="I121" s="117"/>
      <c r="J121" s="117"/>
      <c r="K121" s="117"/>
      <c r="L121" s="117"/>
      <c r="M121" s="117"/>
      <c r="N121" s="117"/>
      <c r="O121" s="117"/>
      <c r="P121" s="117"/>
      <c r="Q121" s="117"/>
      <c r="R121" s="117"/>
      <c r="S121" s="117">
        <f>S35</f>
        <v>349666.25181000005</v>
      </c>
      <c r="T121" s="117">
        <f>T35</f>
        <v>349666.25181000005</v>
      </c>
      <c r="U121" s="117">
        <f>U35</f>
        <v>349666.25181000005</v>
      </c>
      <c r="V121" s="86"/>
      <c r="W121" s="117">
        <f>SUM(C121:V121)</f>
        <v>1210384.7462460003</v>
      </c>
      <c r="X121" s="86"/>
      <c r="Y121" s="86"/>
      <c r="Z121" s="86"/>
      <c r="AA121" s="86"/>
      <c r="AB121" s="86"/>
      <c r="AC121" s="9"/>
      <c r="AD121" s="9"/>
      <c r="AE121" s="9"/>
      <c r="AF121" s="9"/>
      <c r="AG121" s="9"/>
      <c r="AH121" s="9"/>
      <c r="AI121" s="9"/>
      <c r="AJ121" s="9"/>
      <c r="AK121" s="9"/>
      <c r="AL121" s="9"/>
      <c r="AM121" s="9"/>
      <c r="AN121" s="9"/>
      <c r="AO121" s="9"/>
      <c r="AP121" s="9"/>
      <c r="AQ121" s="9"/>
      <c r="AR121" s="9"/>
      <c r="AS121" s="9"/>
      <c r="AT121" s="9"/>
      <c r="AU121" s="9"/>
      <c r="AV121" s="9"/>
    </row>
    <row r="122" spans="1:48" x14ac:dyDescent="0.25">
      <c r="A122" s="86"/>
      <c r="B122" s="86"/>
      <c r="C122" s="117">
        <f>C35-C46</f>
        <v>68651.95413600001</v>
      </c>
      <c r="D122" s="117"/>
      <c r="E122" s="117"/>
      <c r="F122" s="117"/>
      <c r="G122" s="117"/>
      <c r="H122" s="117"/>
      <c r="I122" s="117"/>
      <c r="J122" s="117"/>
      <c r="K122" s="117"/>
      <c r="L122" s="117"/>
      <c r="M122" s="117"/>
      <c r="N122" s="117"/>
      <c r="O122" s="117"/>
      <c r="P122" s="117"/>
      <c r="Q122" s="117"/>
      <c r="R122" s="117"/>
      <c r="S122" s="117">
        <f>S35-S46</f>
        <v>146204.86178400007</v>
      </c>
      <c r="T122" s="117">
        <f>T35-T46</f>
        <v>146204.86178400007</v>
      </c>
      <c r="U122" s="117">
        <f>U35-U46</f>
        <v>146204.86178400007</v>
      </c>
      <c r="V122" s="86"/>
      <c r="W122" s="117">
        <f>SUM(C122:V122)</f>
        <v>507266.5394880002</v>
      </c>
      <c r="X122" s="86"/>
      <c r="Y122" s="86"/>
      <c r="Z122" s="86"/>
      <c r="AA122" s="86"/>
      <c r="AB122" s="86"/>
      <c r="AC122" s="9"/>
      <c r="AD122" s="9"/>
      <c r="AE122" s="9"/>
      <c r="AF122" s="9"/>
      <c r="AG122" s="9"/>
      <c r="AH122" s="9"/>
      <c r="AI122" s="9"/>
      <c r="AJ122" s="9"/>
      <c r="AK122" s="9"/>
      <c r="AL122" s="9"/>
      <c r="AM122" s="9"/>
      <c r="AN122" s="9"/>
      <c r="AO122" s="9"/>
      <c r="AP122" s="9"/>
      <c r="AQ122" s="9"/>
      <c r="AR122" s="9"/>
      <c r="AS122" s="9"/>
      <c r="AT122" s="9"/>
      <c r="AU122" s="9"/>
      <c r="AV122" s="9"/>
    </row>
    <row r="123" spans="1:48"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c r="W123" s="191"/>
      <c r="X123" s="86"/>
      <c r="Y123" s="86"/>
      <c r="Z123" s="86"/>
      <c r="AA123" s="86"/>
      <c r="AB123" s="86"/>
      <c r="AC123" s="9"/>
      <c r="AD123" s="9"/>
      <c r="AE123" s="9"/>
      <c r="AF123" s="9"/>
      <c r="AG123" s="9"/>
      <c r="AH123" s="9"/>
      <c r="AI123" s="9"/>
      <c r="AJ123" s="9"/>
      <c r="AK123" s="9"/>
      <c r="AL123" s="9"/>
      <c r="AM123" s="9"/>
      <c r="AN123" s="9"/>
      <c r="AO123" s="9"/>
      <c r="AP123" s="9"/>
      <c r="AQ123" s="9"/>
      <c r="AR123" s="9"/>
      <c r="AS123" s="9"/>
      <c r="AT123" s="9"/>
      <c r="AU123" s="9"/>
      <c r="AV123" s="9"/>
    </row>
    <row r="124" spans="1:48" x14ac:dyDescent="0.25">
      <c r="A124" s="86"/>
      <c r="B124" s="86"/>
      <c r="C124" s="191" t="e">
        <f>(C121-C120)/C120</f>
        <v>#DIV/0!</v>
      </c>
      <c r="D124" s="191"/>
      <c r="E124" s="191"/>
      <c r="F124" s="191"/>
      <c r="G124" s="191"/>
      <c r="H124" s="191"/>
      <c r="I124" s="191"/>
      <c r="J124" s="191"/>
      <c r="K124" s="191"/>
      <c r="L124" s="191"/>
      <c r="M124" s="191"/>
      <c r="N124" s="191"/>
      <c r="O124" s="191"/>
      <c r="P124" s="191"/>
      <c r="Q124" s="191"/>
      <c r="R124" s="191"/>
      <c r="S124" s="191" t="e">
        <f t="shared" ref="S124:T124" si="38">(S121-S120)/S120</f>
        <v>#DIV/0!</v>
      </c>
      <c r="T124" s="191" t="e">
        <f t="shared" si="38"/>
        <v>#DIV/0!</v>
      </c>
      <c r="U124" s="191" t="e">
        <f t="shared" ref="U124" si="39">(U121-U120)/U120</f>
        <v>#DIV/0!</v>
      </c>
      <c r="V124" s="86"/>
      <c r="W124" s="191" t="e">
        <f>(W121-W120)/W120</f>
        <v>#DIV/0!</v>
      </c>
      <c r="X124" s="86"/>
      <c r="Y124" s="86"/>
      <c r="Z124" s="86"/>
      <c r="AA124" s="86"/>
      <c r="AB124" s="86"/>
      <c r="AC124" s="9"/>
      <c r="AD124" s="9"/>
      <c r="AE124" s="9"/>
      <c r="AF124" s="9"/>
      <c r="AG124" s="9"/>
      <c r="AH124" s="9"/>
      <c r="AI124" s="9"/>
      <c r="AJ124" s="9"/>
      <c r="AK124" s="9"/>
      <c r="AL124" s="9"/>
      <c r="AM124" s="9"/>
      <c r="AN124" s="9"/>
      <c r="AO124" s="9"/>
      <c r="AP124" s="9"/>
      <c r="AQ124" s="9"/>
      <c r="AR124" s="9"/>
      <c r="AS124" s="9"/>
      <c r="AT124" s="9"/>
      <c r="AU124" s="9"/>
      <c r="AV124" s="9"/>
    </row>
    <row r="125" spans="1:48" x14ac:dyDescent="0.25">
      <c r="A125" s="86"/>
      <c r="B125" s="86"/>
      <c r="C125" s="191" t="e">
        <f>(C122-C120)/C120</f>
        <v>#DIV/0!</v>
      </c>
      <c r="D125" s="191"/>
      <c r="E125" s="191"/>
      <c r="F125" s="191"/>
      <c r="G125" s="191"/>
      <c r="H125" s="191"/>
      <c r="I125" s="191"/>
      <c r="J125" s="191"/>
      <c r="K125" s="191"/>
      <c r="L125" s="191"/>
      <c r="M125" s="191"/>
      <c r="N125" s="191"/>
      <c r="O125" s="191"/>
      <c r="P125" s="191"/>
      <c r="Q125" s="191"/>
      <c r="R125" s="191"/>
      <c r="S125" s="191" t="e">
        <f t="shared" ref="S125:T125" si="40">(S122-S120)/S120</f>
        <v>#DIV/0!</v>
      </c>
      <c r="T125" s="191" t="e">
        <f t="shared" si="40"/>
        <v>#DIV/0!</v>
      </c>
      <c r="U125" s="191" t="e">
        <f t="shared" ref="U125" si="41">(U122-U120)/U120</f>
        <v>#DIV/0!</v>
      </c>
      <c r="V125" s="86"/>
      <c r="W125" s="191" t="e">
        <f>(W122-W120)/W120</f>
        <v>#DIV/0!</v>
      </c>
      <c r="X125" s="86"/>
      <c r="Y125" s="86"/>
      <c r="Z125" s="86"/>
      <c r="AA125" s="86"/>
      <c r="AB125" s="86"/>
      <c r="AC125" s="9"/>
      <c r="AD125" s="9"/>
      <c r="AE125" s="9"/>
      <c r="AF125" s="9"/>
      <c r="AG125" s="9"/>
      <c r="AH125" s="9"/>
      <c r="AI125" s="9"/>
      <c r="AJ125" s="9"/>
      <c r="AK125" s="9"/>
      <c r="AL125" s="9"/>
      <c r="AM125" s="9"/>
      <c r="AN125" s="9"/>
      <c r="AO125" s="9"/>
      <c r="AP125" s="9"/>
      <c r="AQ125" s="9"/>
      <c r="AR125" s="9"/>
      <c r="AS125" s="9"/>
      <c r="AT125" s="9"/>
      <c r="AU125" s="9"/>
      <c r="AV125" s="9"/>
    </row>
    <row r="126" ht="15" customHeight="1" spans="1:48" x14ac:dyDescent="0.25">
      <c r="A126" s="192" t="s">
        <v>108</v>
      </c>
      <c r="B126" s="192"/>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9"/>
      <c r="AD126" s="9"/>
      <c r="AE126" s="9"/>
      <c r="AF126" s="9"/>
      <c r="AG126" s="9"/>
      <c r="AH126" s="9"/>
      <c r="AI126" s="9"/>
      <c r="AJ126" s="9"/>
      <c r="AK126" s="9"/>
      <c r="AL126" s="9"/>
      <c r="AM126" s="9"/>
      <c r="AN126" s="9"/>
      <c r="AO126" s="9"/>
      <c r="AP126" s="9"/>
      <c r="AQ126" s="9"/>
      <c r="AR126" s="9"/>
      <c r="AS126" s="9"/>
      <c r="AT126" s="9"/>
      <c r="AU126" s="9"/>
      <c r="AV126" s="9"/>
    </row>
    <row r="127" ht="18" customHeight="1" spans="1:48" x14ac:dyDescent="0.25">
      <c r="A127" s="193" t="s">
        <v>109</v>
      </c>
      <c r="B127" s="194" t="s">
        <v>110</v>
      </c>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9"/>
      <c r="AD127" s="9"/>
      <c r="AE127" s="9"/>
      <c r="AF127" s="9"/>
      <c r="AG127" s="9"/>
      <c r="AH127" s="9"/>
      <c r="AI127" s="9"/>
      <c r="AJ127" s="9"/>
      <c r="AK127" s="9"/>
      <c r="AL127" s="9"/>
      <c r="AM127" s="9"/>
      <c r="AN127" s="9"/>
      <c r="AO127" s="9"/>
      <c r="AP127" s="9"/>
      <c r="AQ127" s="9"/>
      <c r="AR127" s="9"/>
      <c r="AS127" s="9"/>
      <c r="AT127" s="9"/>
      <c r="AU127" s="9"/>
      <c r="AV127" s="9"/>
    </row>
    <row r="128" ht="18.75" customHeight="1" spans="1:48" x14ac:dyDescent="0.25">
      <c r="A128" s="195" t="s">
        <v>29</v>
      </c>
      <c r="B128" s="127" t="s">
        <v>27</v>
      </c>
      <c r="C128" s="196"/>
      <c r="D128" s="196"/>
      <c r="E128" s="196"/>
      <c r="F128" s="196"/>
      <c r="G128" s="196"/>
      <c r="H128" s="196"/>
      <c r="I128" s="196"/>
      <c r="J128" s="196"/>
      <c r="K128" s="196"/>
      <c r="L128" s="196"/>
      <c r="M128" s="196"/>
      <c r="N128" s="196"/>
      <c r="O128" s="196"/>
      <c r="P128" s="196"/>
      <c r="Q128" s="196"/>
      <c r="R128" s="196"/>
      <c r="S128" s="196"/>
      <c r="T128" s="86"/>
      <c r="U128" s="86"/>
      <c r="V128" s="86"/>
      <c r="W128" s="86"/>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row>
    <row r="129" ht="15" customHeight="1" spans="1:48" x14ac:dyDescent="0.25">
      <c r="A129" s="197" t="s">
        <v>111</v>
      </c>
      <c r="B129" s="198">
        <v>8507895</v>
      </c>
      <c r="C129" s="196"/>
      <c r="D129" s="196"/>
      <c r="E129" s="196"/>
      <c r="F129" s="196"/>
      <c r="G129" s="196"/>
      <c r="H129" s="196"/>
      <c r="I129" s="196"/>
      <c r="J129" s="196"/>
      <c r="K129" s="196"/>
      <c r="L129" s="196"/>
      <c r="M129" s="196"/>
      <c r="N129" s="196"/>
      <c r="O129" s="196"/>
      <c r="P129" s="196"/>
      <c r="Q129" s="196"/>
      <c r="R129" s="196"/>
      <c r="S129" s="196"/>
      <c r="T129" s="196"/>
      <c r="U129" s="196"/>
      <c r="V129" s="86"/>
      <c r="W129" s="86"/>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row>
    <row r="130" ht="15" customHeight="1" spans="1:48" x14ac:dyDescent="0.25">
      <c r="A130" s="197" t="s">
        <v>112</v>
      </c>
      <c r="B130" s="199">
        <v>5312436</v>
      </c>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row>
    <row r="131" ht="15" customHeight="1" spans="1:48" x14ac:dyDescent="0.25">
      <c r="A131" s="197" t="s">
        <v>113</v>
      </c>
      <c r="B131" s="199">
        <v>1013773</v>
      </c>
      <c r="X131" s="9"/>
      <c r="Y131" s="9"/>
      <c r="Z131" s="9"/>
      <c r="AA131" s="9"/>
      <c r="AB131" s="9"/>
      <c r="AC131" s="9"/>
      <c r="AD131" s="9"/>
      <c r="AE131" s="9"/>
      <c r="AF131" s="9"/>
      <c r="AG131" s="9"/>
      <c r="AH131" s="9"/>
      <c r="AI131" s="86"/>
      <c r="AJ131" s="86"/>
      <c r="AK131" s="86"/>
      <c r="AL131" s="86"/>
      <c r="AM131" s="86"/>
      <c r="AN131" s="86"/>
      <c r="AO131" s="86"/>
      <c r="AP131" s="86"/>
      <c r="AQ131" s="86"/>
      <c r="AR131" s="86"/>
      <c r="AS131" s="86"/>
      <c r="AT131" s="86"/>
      <c r="AU131" s="86"/>
      <c r="AV131" s="86"/>
    </row>
    <row r="132" ht="15" customHeight="1" spans="1:48" x14ac:dyDescent="0.25">
      <c r="A132" s="197" t="s">
        <v>114</v>
      </c>
      <c r="B132" s="199">
        <v>15080274</v>
      </c>
      <c r="X132" s="9"/>
      <c r="Y132" s="9"/>
      <c r="Z132" s="9"/>
      <c r="AA132" s="9"/>
      <c r="AB132" s="9"/>
      <c r="AC132" s="9"/>
      <c r="AD132" s="9"/>
      <c r="AE132" s="9"/>
      <c r="AF132" s="9"/>
      <c r="AG132" s="9"/>
      <c r="AH132" s="9"/>
      <c r="AI132" s="86"/>
      <c r="AJ132" s="86"/>
      <c r="AK132" s="86"/>
      <c r="AL132" s="86"/>
      <c r="AM132" s="86"/>
      <c r="AN132" s="86"/>
      <c r="AO132" s="86"/>
      <c r="AP132" s="86"/>
      <c r="AQ132" s="86"/>
      <c r="AR132" s="86"/>
      <c r="AS132" s="86"/>
      <c r="AT132" s="86"/>
      <c r="AU132" s="86"/>
      <c r="AV132" s="86"/>
    </row>
    <row r="133" ht="15" customHeight="1" spans="1:48" x14ac:dyDescent="0.25">
      <c r="A133" s="201" t="s">
        <v>115</v>
      </c>
      <c r="B133" s="202">
        <v>310886</v>
      </c>
      <c r="C133" s="196"/>
      <c r="D133" s="196"/>
      <c r="E133" s="196"/>
      <c r="F133" s="196"/>
      <c r="G133" s="196"/>
      <c r="H133" s="196"/>
      <c r="I133" s="196"/>
      <c r="J133" s="196"/>
      <c r="K133" s="196"/>
      <c r="L133" s="196"/>
      <c r="M133" s="196"/>
      <c r="N133" s="196"/>
      <c r="O133" s="196"/>
      <c r="P133" s="196"/>
      <c r="Q133" s="196"/>
      <c r="R133" s="196"/>
      <c r="S133" s="196"/>
      <c r="T133" s="196"/>
      <c r="U133" s="196"/>
      <c r="V133" s="196"/>
      <c r="W133" s="86"/>
      <c r="X133" s="9"/>
      <c r="Y133" s="9"/>
      <c r="Z133" s="9"/>
      <c r="AA133" s="9"/>
      <c r="AB133" s="9"/>
      <c r="AC133" s="9"/>
      <c r="AD133" s="9"/>
      <c r="AE133" s="9"/>
      <c r="AF133" s="9"/>
      <c r="AG133" s="9"/>
      <c r="AH133" s="9"/>
      <c r="AI133" s="86"/>
      <c r="AJ133" s="86"/>
      <c r="AK133" s="86"/>
      <c r="AL133" s="86"/>
      <c r="AM133" s="86"/>
      <c r="AN133" s="86"/>
      <c r="AO133" s="86"/>
      <c r="AP133" s="86"/>
      <c r="AQ133" s="86"/>
      <c r="AR133" s="86"/>
      <c r="AS133" s="86"/>
      <c r="AT133" s="86"/>
      <c r="AU133" s="86"/>
      <c r="AV133" s="86"/>
    </row>
    <row r="134" ht="15.5" customHeight="1" spans="1:48" x14ac:dyDescent="0.25">
      <c r="A134" s="203" t="s">
        <v>116</v>
      </c>
      <c r="B134" s="204">
        <f>SUM(B129:B133)</f>
        <v>30225264</v>
      </c>
      <c r="C134" s="196"/>
      <c r="D134" s="196"/>
      <c r="E134" s="196"/>
      <c r="F134" s="196"/>
      <c r="G134" s="196"/>
      <c r="H134" s="196"/>
      <c r="I134" s="196"/>
      <c r="J134" s="196"/>
      <c r="K134" s="196"/>
      <c r="L134" s="196"/>
      <c r="M134" s="196"/>
      <c r="N134" s="196"/>
      <c r="O134" s="196"/>
      <c r="P134" s="196"/>
      <c r="Q134" s="196"/>
      <c r="R134" s="196"/>
      <c r="S134" s="196"/>
      <c r="T134" s="196"/>
      <c r="U134" s="196"/>
      <c r="V134" s="196"/>
      <c r="W134" s="86"/>
      <c r="X134" s="9"/>
      <c r="Y134" s="9"/>
      <c r="Z134" s="9"/>
      <c r="AA134" s="9"/>
      <c r="AB134" s="9"/>
      <c r="AC134" s="9"/>
      <c r="AD134" s="9"/>
      <c r="AE134" s="9"/>
      <c r="AF134" s="9"/>
      <c r="AG134" s="9"/>
      <c r="AH134" s="9"/>
      <c r="AI134" s="86"/>
      <c r="AJ134" s="86"/>
      <c r="AK134" s="86"/>
      <c r="AL134" s="86"/>
      <c r="AM134" s="86"/>
      <c r="AN134" s="86"/>
      <c r="AO134" s="86"/>
      <c r="AP134" s="86"/>
      <c r="AQ134" s="86"/>
      <c r="AR134" s="86"/>
      <c r="AS134" s="86"/>
      <c r="AT134" s="86"/>
      <c r="AU134" s="86"/>
      <c r="AV134" s="86"/>
    </row>
    <row r="135" ht="15" customHeight="1" spans="1:48" x14ac:dyDescent="0.25">
      <c r="A135" s="195" t="s">
        <v>67</v>
      </c>
      <c r="B135" s="205" t="s">
        <v>27</v>
      </c>
      <c r="W135" s="86"/>
      <c r="X135" s="9"/>
      <c r="Y135" s="9"/>
      <c r="Z135" s="9"/>
      <c r="AA135" s="9"/>
      <c r="AB135" s="9"/>
      <c r="AC135" s="9"/>
      <c r="AD135" s="9"/>
      <c r="AE135" s="9"/>
      <c r="AF135" s="9"/>
      <c r="AG135" s="9"/>
      <c r="AH135" s="9"/>
      <c r="AI135" s="86"/>
      <c r="AJ135" s="86"/>
      <c r="AK135" s="86"/>
      <c r="AL135" s="86"/>
      <c r="AM135" s="86"/>
      <c r="AN135" s="86"/>
      <c r="AO135" s="86"/>
      <c r="AP135" s="86"/>
      <c r="AQ135" s="86"/>
      <c r="AR135" s="86"/>
      <c r="AS135" s="86"/>
      <c r="AT135" s="86"/>
      <c r="AU135" s="86"/>
      <c r="AV135" s="86"/>
    </row>
    <row r="136" ht="15.5" customHeight="1" spans="1:48" x14ac:dyDescent="0.25">
      <c r="A136" s="197" t="s">
        <v>117</v>
      </c>
      <c r="B136" s="198">
        <v>741705</v>
      </c>
      <c r="W136" s="206"/>
      <c r="X136" s="9"/>
      <c r="Y136" s="9"/>
      <c r="Z136" s="206"/>
      <c r="AA136" s="9"/>
      <c r="AB136" s="9"/>
      <c r="AC136" s="9"/>
      <c r="AD136" s="9"/>
      <c r="AE136" s="9"/>
      <c r="AF136" s="9"/>
      <c r="AG136" s="9"/>
      <c r="AH136" s="9"/>
      <c r="AI136" s="86"/>
      <c r="AJ136" s="86"/>
      <c r="AK136" s="86"/>
      <c r="AL136" s="86"/>
      <c r="AM136" s="86"/>
      <c r="AN136" s="86"/>
      <c r="AO136" s="86"/>
      <c r="AP136" s="86"/>
      <c r="AQ136" s="86"/>
      <c r="AR136" s="86"/>
      <c r="AS136" s="86"/>
      <c r="AT136" s="86"/>
      <c r="AU136" s="86"/>
      <c r="AV136" s="86"/>
    </row>
    <row r="137" ht="15.5" customHeight="1" spans="1:48" x14ac:dyDescent="0.25">
      <c r="A137" s="197" t="s">
        <v>118</v>
      </c>
      <c r="B137" s="199">
        <v>17984226</v>
      </c>
      <c r="W137" s="206"/>
      <c r="X137" s="9"/>
      <c r="Y137" s="9"/>
      <c r="Z137" s="206"/>
      <c r="AA137" s="9"/>
      <c r="AB137" s="9"/>
      <c r="AC137" s="9"/>
      <c r="AD137" s="9"/>
      <c r="AE137" s="9"/>
      <c r="AF137" s="9"/>
      <c r="AG137" s="9"/>
      <c r="AH137" s="9"/>
      <c r="AI137" s="86"/>
      <c r="AJ137" s="86"/>
      <c r="AK137" s="86"/>
      <c r="AL137" s="86"/>
      <c r="AM137" s="86"/>
      <c r="AN137" s="86"/>
      <c r="AO137" s="86"/>
      <c r="AP137" s="86"/>
      <c r="AQ137" s="86"/>
      <c r="AR137" s="86"/>
      <c r="AS137" s="86"/>
      <c r="AT137" s="86"/>
      <c r="AU137" s="86"/>
      <c r="AV137" s="86"/>
    </row>
    <row r="138" ht="15.5" customHeight="1" spans="1:48" x14ac:dyDescent="0.25">
      <c r="A138" s="197" t="s">
        <v>119</v>
      </c>
      <c r="B138" s="199">
        <v>11074017</v>
      </c>
      <c r="W138" s="206"/>
      <c r="X138" s="9"/>
      <c r="Y138" s="9"/>
      <c r="Z138" s="206"/>
      <c r="AA138" s="9"/>
      <c r="AB138" s="9"/>
      <c r="AC138" s="9"/>
      <c r="AD138" s="9"/>
      <c r="AE138" s="9"/>
      <c r="AF138" s="9"/>
      <c r="AG138" s="9"/>
      <c r="AH138" s="9"/>
      <c r="AI138" s="86"/>
      <c r="AJ138" s="86"/>
      <c r="AK138" s="86"/>
      <c r="AL138" s="86"/>
      <c r="AM138" s="86"/>
      <c r="AN138" s="86"/>
      <c r="AO138" s="86"/>
      <c r="AP138" s="86"/>
      <c r="AQ138" s="86"/>
      <c r="AR138" s="86"/>
      <c r="AS138" s="86"/>
      <c r="AT138" s="86"/>
      <c r="AU138" s="86"/>
      <c r="AV138" s="86"/>
    </row>
    <row r="139" ht="18.75" customHeight="1" spans="1:48" x14ac:dyDescent="0.25">
      <c r="A139" s="201" t="s">
        <v>120</v>
      </c>
      <c r="B139" s="202">
        <v>425316</v>
      </c>
      <c r="W139" s="206"/>
      <c r="X139" s="9"/>
      <c r="Y139" s="9"/>
      <c r="Z139" s="206"/>
      <c r="AA139" s="9"/>
      <c r="AB139" s="9"/>
      <c r="AC139" s="9"/>
      <c r="AD139" s="9"/>
      <c r="AE139" s="9"/>
      <c r="AF139" s="9"/>
      <c r="AG139" s="9"/>
      <c r="AH139" s="9"/>
      <c r="AI139" s="86"/>
      <c r="AJ139" s="86"/>
      <c r="AK139" s="86"/>
      <c r="AL139" s="86"/>
      <c r="AM139" s="86"/>
      <c r="AN139" s="86"/>
      <c r="AO139" s="86"/>
      <c r="AP139" s="86"/>
      <c r="AQ139" s="86"/>
      <c r="AR139" s="86"/>
      <c r="AS139" s="86"/>
      <c r="AT139" s="86"/>
      <c r="AU139" s="86"/>
      <c r="AV139" s="86"/>
    </row>
    <row r="140" ht="15.5" customHeight="1" spans="1:48" x14ac:dyDescent="0.25">
      <c r="A140" s="197" t="s">
        <v>83</v>
      </c>
      <c r="B140" s="204">
        <f>SUM(B136:B139)</f>
        <v>30225264</v>
      </c>
      <c r="W140" s="207"/>
      <c r="X140" s="9"/>
      <c r="Y140" s="9"/>
      <c r="Z140" s="208"/>
      <c r="AA140" s="9"/>
      <c r="AB140" s="9"/>
      <c r="AC140" s="9"/>
      <c r="AD140" s="9"/>
      <c r="AE140" s="9"/>
      <c r="AF140" s="9"/>
      <c r="AG140" s="9"/>
      <c r="AH140" s="9"/>
      <c r="AI140" s="86"/>
      <c r="AJ140" s="86"/>
      <c r="AK140" s="86"/>
      <c r="AL140" s="86"/>
      <c r="AM140" s="86"/>
      <c r="AN140" s="86"/>
      <c r="AO140" s="86"/>
      <c r="AP140" s="86"/>
      <c r="AQ140" s="86"/>
      <c r="AR140" s="86"/>
      <c r="AS140" s="86"/>
      <c r="AT140" s="86"/>
      <c r="AU140" s="86"/>
      <c r="AV140" s="86"/>
    </row>
    <row r="141" ht="15" customHeight="1" spans="1:48" x14ac:dyDescent="0.25">
      <c r="W141" s="207"/>
      <c r="X141" s="9"/>
      <c r="Y141" s="9"/>
      <c r="Z141" s="208"/>
      <c r="AA141" s="9"/>
      <c r="AB141" s="9"/>
      <c r="AC141" s="9"/>
      <c r="AD141" s="9"/>
      <c r="AE141" s="9"/>
      <c r="AF141" s="9"/>
      <c r="AG141" s="9"/>
      <c r="AH141" s="9"/>
      <c r="AI141" s="86"/>
      <c r="AJ141" s="86"/>
      <c r="AK141" s="86"/>
      <c r="AL141" s="86"/>
      <c r="AM141" s="86"/>
      <c r="AN141" s="86"/>
      <c r="AO141" s="86"/>
      <c r="AP141" s="86"/>
      <c r="AQ141" s="86"/>
      <c r="AR141" s="86"/>
      <c r="AS141" s="86"/>
      <c r="AT141" s="86"/>
      <c r="AU141" s="86"/>
      <c r="AV141" s="86"/>
    </row>
    <row r="142" ht="15" customHeight="1" spans="1:48" x14ac:dyDescent="0.25">
      <c r="C142" s="209"/>
      <c r="D142" s="86"/>
      <c r="E142" s="86"/>
      <c r="F142" s="86"/>
      <c r="G142" s="86"/>
      <c r="H142" s="86"/>
      <c r="I142" s="86"/>
      <c r="J142" s="86"/>
      <c r="K142" s="86"/>
      <c r="L142" s="86"/>
      <c r="M142" s="86"/>
      <c r="N142" s="86"/>
      <c r="O142" s="86"/>
      <c r="P142" s="86"/>
      <c r="Q142" s="86"/>
      <c r="R142" s="86"/>
      <c r="S142" s="86"/>
      <c r="T142" s="196"/>
      <c r="U142" s="196"/>
      <c r="V142" s="196"/>
      <c r="W142" s="86"/>
      <c r="X142" s="9"/>
      <c r="Y142" s="9"/>
      <c r="Z142" s="206"/>
      <c r="AA142" s="9"/>
      <c r="AB142" s="9"/>
      <c r="AC142" s="9"/>
      <c r="AD142" s="9"/>
      <c r="AE142" s="9"/>
      <c r="AF142" s="9"/>
      <c r="AG142" s="9"/>
      <c r="AH142" s="9"/>
      <c r="AI142" s="86"/>
      <c r="AJ142" s="86"/>
      <c r="AK142" s="86"/>
      <c r="AL142" s="86"/>
      <c r="AM142" s="86"/>
      <c r="AN142" s="86"/>
      <c r="AO142" s="86"/>
      <c r="AP142" s="86"/>
      <c r="AQ142" s="86"/>
      <c r="AR142" s="86"/>
      <c r="AS142" s="86"/>
      <c r="AT142" s="86"/>
      <c r="AU142" s="86"/>
      <c r="AV142" s="86"/>
    </row>
    <row r="143" ht="145" customHeight="1" spans="1:48" x14ac:dyDescent="0.25">
      <c r="A143" s="210" t="s">
        <v>121</v>
      </c>
      <c r="C143" s="211"/>
      <c r="D143" s="86"/>
      <c r="E143" s="86"/>
      <c r="F143" s="86"/>
      <c r="G143" s="86"/>
      <c r="H143" s="86"/>
      <c r="I143" s="86"/>
      <c r="J143" s="86"/>
      <c r="K143" s="86"/>
      <c r="L143" s="86"/>
      <c r="M143" s="86"/>
      <c r="N143" s="86"/>
      <c r="O143" s="86"/>
      <c r="P143" s="86"/>
      <c r="Q143" s="86"/>
      <c r="R143" s="86"/>
      <c r="S143" s="86"/>
      <c r="T143" s="196"/>
      <c r="U143" s="196"/>
      <c r="V143" s="196"/>
      <c r="W143" s="86"/>
      <c r="X143" s="9"/>
      <c r="Y143" s="9"/>
      <c r="Z143" s="206"/>
      <c r="AA143" s="9"/>
      <c r="AB143" s="9"/>
      <c r="AC143" s="9"/>
      <c r="AD143" s="9"/>
      <c r="AE143" s="9"/>
      <c r="AF143" s="9"/>
      <c r="AG143" s="9"/>
      <c r="AH143" s="9"/>
      <c r="AI143" s="86"/>
      <c r="AJ143" s="86"/>
      <c r="AK143" s="86"/>
      <c r="AL143" s="86"/>
      <c r="AM143" s="86"/>
      <c r="AN143" s="86"/>
      <c r="AO143" s="86"/>
      <c r="AP143" s="86"/>
      <c r="AQ143" s="86"/>
      <c r="AR143" s="86"/>
      <c r="AS143" s="86"/>
      <c r="AT143" s="86"/>
      <c r="AU143" s="86"/>
      <c r="AV143" s="86"/>
    </row>
    <row r="144" ht="15" customHeight="1" spans="1:48" x14ac:dyDescent="0.25">
      <c r="A144" s="86"/>
      <c r="B144" s="86"/>
      <c r="C144" s="212"/>
      <c r="D144" s="213"/>
      <c r="E144" s="213"/>
      <c r="F144" s="213"/>
      <c r="G144" s="213"/>
      <c r="H144" s="213"/>
      <c r="I144" s="213"/>
      <c r="J144" s="213"/>
      <c r="K144" s="213"/>
      <c r="L144" s="213"/>
      <c r="M144" s="213"/>
      <c r="N144" s="213"/>
      <c r="O144" s="213"/>
      <c r="P144" s="213"/>
      <c r="Q144" s="213"/>
      <c r="R144" s="213"/>
      <c r="S144" s="86"/>
      <c r="T144" s="196"/>
      <c r="U144" s="196"/>
      <c r="V144" s="196"/>
      <c r="W144" s="86"/>
      <c r="X144" s="9"/>
      <c r="Y144" s="9"/>
      <c r="Z144" s="206"/>
      <c r="AA144" s="9"/>
      <c r="AB144" s="9"/>
      <c r="AC144" s="9"/>
      <c r="AD144" s="9"/>
      <c r="AE144" s="9"/>
      <c r="AF144" s="9"/>
      <c r="AG144" s="9"/>
      <c r="AH144" s="9"/>
      <c r="AI144" s="86"/>
      <c r="AJ144" s="86"/>
      <c r="AK144" s="86"/>
      <c r="AL144" s="86"/>
      <c r="AM144" s="86"/>
      <c r="AN144" s="86"/>
      <c r="AO144" s="86"/>
      <c r="AP144" s="86"/>
      <c r="AQ144" s="86"/>
      <c r="AR144" s="86"/>
      <c r="AS144" s="86"/>
      <c r="AT144" s="86"/>
      <c r="AU144" s="86"/>
      <c r="AV144" s="86"/>
    </row>
    <row r="145" ht="15" customHeight="1" spans="1:48" x14ac:dyDescent="0.25">
      <c r="A145" s="86"/>
      <c r="B145" s="86"/>
      <c r="C145" s="211"/>
      <c r="D145" s="86"/>
      <c r="E145" s="86"/>
      <c r="F145" s="86"/>
      <c r="G145" s="86"/>
      <c r="H145" s="86"/>
      <c r="I145" s="86"/>
      <c r="J145" s="86"/>
      <c r="K145" s="86"/>
      <c r="L145" s="86"/>
      <c r="M145" s="86"/>
      <c r="N145" s="86"/>
      <c r="O145" s="86"/>
      <c r="P145" s="86"/>
      <c r="Q145" s="86"/>
      <c r="R145" s="86"/>
      <c r="S145" s="86"/>
      <c r="T145" s="196"/>
      <c r="U145" s="196"/>
      <c r="V145" s="196"/>
      <c r="W145" s="86"/>
      <c r="X145" s="9"/>
      <c r="Y145" s="9"/>
      <c r="Z145" s="206"/>
      <c r="AA145" s="9"/>
      <c r="AB145" s="9"/>
      <c r="AC145" s="9"/>
      <c r="AD145" s="9"/>
      <c r="AE145" s="9"/>
      <c r="AF145" s="9"/>
      <c r="AG145" s="9"/>
      <c r="AH145" s="9"/>
      <c r="AI145" s="86"/>
      <c r="AJ145" s="86"/>
      <c r="AK145" s="86"/>
      <c r="AL145" s="86"/>
      <c r="AM145" s="86"/>
      <c r="AN145" s="86"/>
      <c r="AO145" s="86"/>
      <c r="AP145" s="86"/>
      <c r="AQ145" s="86"/>
      <c r="AR145" s="86"/>
      <c r="AS145" s="86"/>
      <c r="AT145" s="86"/>
      <c r="AU145" s="86"/>
      <c r="AV145" s="86"/>
    </row>
    <row r="146" ht="15" customHeight="1" spans="1:48" x14ac:dyDescent="0.25">
      <c r="A146" s="86"/>
      <c r="B146" s="86"/>
      <c r="C146" s="214"/>
      <c r="D146" s="215"/>
      <c r="E146" s="215"/>
      <c r="F146" s="215"/>
      <c r="G146" s="215"/>
      <c r="H146" s="215"/>
      <c r="I146" s="215"/>
      <c r="J146" s="215"/>
      <c r="K146" s="215"/>
      <c r="L146" s="215"/>
      <c r="M146" s="215"/>
      <c r="N146" s="215"/>
      <c r="O146" s="215"/>
      <c r="P146" s="215"/>
      <c r="Q146" s="215"/>
      <c r="R146" s="215"/>
      <c r="S146" s="86"/>
      <c r="T146" s="216"/>
      <c r="U146" s="216"/>
      <c r="V146" s="196"/>
      <c r="W146" s="86"/>
      <c r="X146" s="9"/>
      <c r="Y146" s="9"/>
      <c r="Z146" s="206"/>
      <c r="AA146" s="9"/>
      <c r="AB146" s="9"/>
      <c r="AC146" s="9"/>
      <c r="AD146" s="9"/>
      <c r="AE146" s="9"/>
      <c r="AF146" s="9"/>
      <c r="AG146" s="9"/>
      <c r="AH146" s="9"/>
      <c r="AI146" s="86"/>
      <c r="AJ146" s="86"/>
      <c r="AK146" s="86"/>
      <c r="AL146" s="86"/>
      <c r="AM146" s="86"/>
      <c r="AN146" s="86"/>
      <c r="AO146" s="86"/>
      <c r="AP146" s="86"/>
      <c r="AQ146" s="86"/>
      <c r="AR146" s="86"/>
      <c r="AS146" s="86"/>
      <c r="AT146" s="86"/>
      <c r="AU146" s="86"/>
      <c r="AV146" s="86"/>
    </row>
    <row r="147" ht="15" customHeight="1" spans="1:48" x14ac:dyDescent="0.25">
      <c r="A147" s="86"/>
      <c r="B147" s="86"/>
      <c r="C147" s="217"/>
      <c r="D147" s="218"/>
      <c r="E147" s="218"/>
      <c r="F147" s="218"/>
      <c r="G147" s="218"/>
      <c r="H147" s="218"/>
      <c r="I147" s="218"/>
      <c r="J147" s="218"/>
      <c r="K147" s="218"/>
      <c r="L147" s="218"/>
      <c r="M147" s="218"/>
      <c r="N147" s="218"/>
      <c r="O147" s="218"/>
      <c r="P147" s="218"/>
      <c r="Q147" s="218"/>
      <c r="R147" s="218"/>
      <c r="S147" s="215"/>
      <c r="T147" s="216"/>
      <c r="U147" s="216"/>
      <c r="V147" s="196"/>
      <c r="W147" s="86"/>
      <c r="X147" s="9"/>
      <c r="Y147" s="9"/>
      <c r="Z147" s="206"/>
      <c r="AA147" s="9"/>
      <c r="AB147" s="9"/>
      <c r="AC147" s="9"/>
      <c r="AD147" s="9"/>
      <c r="AE147" s="9"/>
      <c r="AF147" s="9"/>
      <c r="AG147" s="9"/>
      <c r="AH147" s="9"/>
      <c r="AI147" s="9"/>
      <c r="AJ147" s="9"/>
      <c r="AK147" s="9"/>
      <c r="AL147" s="9"/>
      <c r="AM147" s="9"/>
      <c r="AN147" s="9"/>
      <c r="AO147" s="9"/>
      <c r="AP147" s="9"/>
      <c r="AQ147" s="9"/>
      <c r="AR147" s="9"/>
      <c r="AS147" s="9"/>
      <c r="AT147" s="9"/>
      <c r="AU147" s="9"/>
      <c r="AV147" s="9"/>
    </row>
    <row r="148" ht="15" customHeight="1" spans="1:48" x14ac:dyDescent="0.25">
      <c r="A148" s="86"/>
      <c r="B148" s="86"/>
      <c r="C148" s="217"/>
      <c r="D148" s="218"/>
      <c r="E148" s="218"/>
      <c r="F148" s="218"/>
      <c r="G148" s="218"/>
      <c r="H148" s="218"/>
      <c r="I148" s="218"/>
      <c r="J148" s="218"/>
      <c r="K148" s="218"/>
      <c r="L148" s="218"/>
      <c r="M148" s="218"/>
      <c r="N148" s="218"/>
      <c r="O148" s="218"/>
      <c r="P148" s="218"/>
      <c r="Q148" s="218"/>
      <c r="R148" s="218"/>
      <c r="S148" s="14"/>
      <c r="T148" s="216"/>
      <c r="U148" s="216"/>
      <c r="V148" s="196"/>
      <c r="W148" s="86"/>
      <c r="X148" s="9"/>
      <c r="Y148" s="9"/>
      <c r="Z148" s="206"/>
      <c r="AA148" s="9"/>
      <c r="AB148" s="9"/>
      <c r="AC148" s="9"/>
      <c r="AD148" s="9"/>
      <c r="AE148" s="9"/>
      <c r="AF148" s="9"/>
      <c r="AG148" s="9"/>
      <c r="AH148" s="9"/>
      <c r="AI148" s="9"/>
      <c r="AJ148" s="9"/>
      <c r="AK148" s="9"/>
      <c r="AL148" s="9"/>
      <c r="AM148" s="9"/>
      <c r="AN148" s="9"/>
      <c r="AO148" s="9"/>
      <c r="AP148" s="9"/>
      <c r="AQ148" s="9"/>
      <c r="AR148" s="9"/>
      <c r="AS148" s="9"/>
      <c r="AT148" s="9"/>
      <c r="AU148" s="9"/>
      <c r="AV148" s="9"/>
    </row>
    <row r="149" spans="1:48" x14ac:dyDescent="0.25">
      <c r="A149" s="86"/>
      <c r="B149" s="86"/>
      <c r="C149" s="219"/>
      <c r="D149" s="220"/>
      <c r="E149" s="220"/>
      <c r="F149" s="220"/>
      <c r="G149" s="220"/>
      <c r="H149" s="220"/>
      <c r="I149" s="220"/>
      <c r="J149" s="220"/>
      <c r="K149" s="220"/>
      <c r="L149" s="220"/>
      <c r="M149" s="220"/>
      <c r="N149" s="220"/>
      <c r="O149" s="220"/>
      <c r="P149" s="220"/>
      <c r="Q149" s="220"/>
      <c r="R149" s="220"/>
      <c r="S149" s="221"/>
      <c r="T149" s="216"/>
      <c r="U149" s="216"/>
      <c r="V149" s="196"/>
      <c r="W149" s="86"/>
      <c r="X149" s="9"/>
      <c r="Y149" s="9"/>
      <c r="Z149" s="208"/>
      <c r="AA149" s="9"/>
      <c r="AB149" s="9"/>
      <c r="AC149" s="9"/>
      <c r="AD149" s="9"/>
      <c r="AE149" s="9"/>
      <c r="AF149" s="9"/>
      <c r="AG149" s="9"/>
      <c r="AH149" s="9"/>
      <c r="AI149" s="9"/>
      <c r="AJ149" s="9"/>
      <c r="AK149" s="9"/>
      <c r="AL149" s="9"/>
      <c r="AM149" s="9"/>
      <c r="AN149" s="9"/>
      <c r="AO149" s="9"/>
      <c r="AP149" s="9"/>
      <c r="AQ149" s="9"/>
      <c r="AR149" s="9"/>
      <c r="AS149" s="9"/>
      <c r="AT149" s="9"/>
      <c r="AU149" s="9"/>
      <c r="AV149" s="9"/>
    </row>
    <row r="150" ht="15" customHeight="1" spans="1:48" x14ac:dyDescent="0.25">
      <c r="A150" s="86"/>
      <c r="B150" s="86"/>
      <c r="C150" s="222"/>
      <c r="D150" s="223"/>
      <c r="E150" s="223"/>
      <c r="F150" s="223"/>
      <c r="G150" s="223"/>
      <c r="H150" s="223"/>
      <c r="I150" s="223"/>
      <c r="J150" s="223"/>
      <c r="K150" s="223"/>
      <c r="L150" s="223"/>
      <c r="M150" s="223"/>
      <c r="N150" s="223"/>
      <c r="O150" s="223"/>
      <c r="P150" s="223"/>
      <c r="Q150" s="223"/>
      <c r="R150" s="223"/>
      <c r="S150" s="221"/>
      <c r="T150" s="216"/>
      <c r="U150" s="216"/>
      <c r="V150" s="196"/>
      <c r="W150" s="86"/>
      <c r="X150" s="9"/>
      <c r="Y150" s="9"/>
      <c r="Z150" s="206"/>
      <c r="AA150" s="9"/>
      <c r="AB150" s="9"/>
      <c r="AC150" s="9"/>
      <c r="AD150" s="9"/>
      <c r="AE150" s="9"/>
      <c r="AF150" s="9"/>
      <c r="AG150" s="9"/>
      <c r="AH150" s="9"/>
      <c r="AI150" s="9"/>
      <c r="AJ150" s="9"/>
      <c r="AK150" s="9"/>
      <c r="AL150" s="9"/>
      <c r="AM150" s="9"/>
      <c r="AN150" s="9"/>
      <c r="AO150" s="9"/>
      <c r="AP150" s="9"/>
      <c r="AQ150" s="9"/>
      <c r="AR150" s="9"/>
      <c r="AS150" s="9"/>
      <c r="AT150" s="9"/>
      <c r="AU150" s="9"/>
      <c r="AV150" s="9"/>
    </row>
    <row r="151" spans="1:48" x14ac:dyDescent="0.25">
      <c r="A151" s="86"/>
      <c r="B151" s="86"/>
      <c r="C151" s="212"/>
      <c r="D151" s="213"/>
      <c r="E151" s="213"/>
      <c r="F151" s="213"/>
      <c r="G151" s="213"/>
      <c r="H151" s="213"/>
      <c r="I151" s="213"/>
      <c r="J151" s="213"/>
      <c r="K151" s="213"/>
      <c r="L151" s="213"/>
      <c r="M151" s="213"/>
      <c r="N151" s="213"/>
      <c r="O151" s="213"/>
      <c r="P151" s="213"/>
      <c r="Q151" s="213"/>
      <c r="R151" s="213"/>
      <c r="S151" s="221"/>
      <c r="T151" s="216"/>
      <c r="U151" s="216"/>
      <c r="V151" s="86"/>
      <c r="W151" s="86"/>
      <c r="X151" s="9"/>
      <c r="Y151" s="9"/>
      <c r="Z151" s="224"/>
      <c r="AA151" s="9"/>
      <c r="AB151" s="9"/>
      <c r="AC151" s="9"/>
      <c r="AD151" s="9"/>
      <c r="AE151" s="9"/>
      <c r="AF151" s="9"/>
      <c r="AG151" s="9"/>
      <c r="AH151" s="9"/>
      <c r="AI151" s="9"/>
      <c r="AJ151" s="9"/>
      <c r="AK151" s="9"/>
      <c r="AL151" s="9"/>
      <c r="AM151" s="9"/>
      <c r="AN151" s="9"/>
      <c r="AO151" s="9"/>
      <c r="AP151" s="9"/>
      <c r="AQ151" s="9"/>
      <c r="AR151" s="9"/>
      <c r="AS151" s="9"/>
      <c r="AT151" s="9"/>
      <c r="AU151" s="9"/>
      <c r="AV151" s="9"/>
    </row>
    <row r="152" spans="1:48" x14ac:dyDescent="0.25">
      <c r="A152" s="86"/>
      <c r="B152" s="86"/>
      <c r="C152" s="211"/>
      <c r="D152" s="86"/>
      <c r="E152" s="86"/>
      <c r="F152" s="86"/>
      <c r="G152" s="86"/>
      <c r="H152" s="86"/>
      <c r="I152" s="86"/>
      <c r="J152" s="86"/>
      <c r="K152" s="86"/>
      <c r="L152" s="86"/>
      <c r="M152" s="86"/>
      <c r="N152" s="86"/>
      <c r="O152" s="86"/>
      <c r="P152" s="86"/>
      <c r="Q152" s="86"/>
      <c r="R152" s="86"/>
      <c r="S152" s="221"/>
      <c r="T152" s="216"/>
      <c r="U152" s="216"/>
      <c r="V152" s="86"/>
      <c r="W152" s="86"/>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row>
    <row r="153" spans="1:48" x14ac:dyDescent="0.25">
      <c r="A153" s="86"/>
      <c r="B153" s="86"/>
      <c r="C153" s="225"/>
      <c r="D153" s="226"/>
      <c r="E153" s="226"/>
      <c r="F153" s="226"/>
      <c r="G153" s="226"/>
      <c r="H153" s="226"/>
      <c r="I153" s="226"/>
      <c r="J153" s="226"/>
      <c r="K153" s="226"/>
      <c r="L153" s="226"/>
      <c r="M153" s="226"/>
      <c r="N153" s="226"/>
      <c r="O153" s="226"/>
      <c r="P153" s="226"/>
      <c r="Q153" s="226"/>
      <c r="R153" s="226"/>
      <c r="S153" s="227"/>
      <c r="T153" s="9"/>
      <c r="U153" s="9"/>
      <c r="V153" s="86"/>
      <c r="W153" s="86"/>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row>
    <row r="154" spans="1:48" x14ac:dyDescent="0.25">
      <c r="A154" s="86"/>
      <c r="B154" s="86"/>
      <c r="C154" s="211"/>
      <c r="D154" s="86"/>
      <c r="E154" s="86"/>
      <c r="F154" s="86"/>
      <c r="G154" s="86"/>
      <c r="H154" s="86"/>
      <c r="I154" s="86"/>
      <c r="J154" s="86"/>
      <c r="K154" s="86"/>
      <c r="L154" s="86"/>
      <c r="M154" s="86"/>
      <c r="N154" s="86"/>
      <c r="O154" s="86"/>
      <c r="P154" s="86"/>
      <c r="Q154" s="86"/>
      <c r="R154" s="86"/>
      <c r="S154" s="86"/>
      <c r="T154" s="9"/>
      <c r="U154" s="9"/>
      <c r="V154" s="86"/>
      <c r="W154" s="86"/>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row>
    <row r="155" spans="1:48" x14ac:dyDescent="0.25">
      <c r="A155" s="86"/>
      <c r="B155" s="86"/>
      <c r="C155" s="217"/>
      <c r="D155" s="218"/>
      <c r="E155" s="218"/>
      <c r="F155" s="218"/>
      <c r="G155" s="218"/>
      <c r="H155" s="218"/>
      <c r="I155" s="218"/>
      <c r="J155" s="218"/>
      <c r="K155" s="218"/>
      <c r="L155" s="218"/>
      <c r="M155" s="218"/>
      <c r="N155" s="218"/>
      <c r="O155" s="218"/>
      <c r="P155" s="218"/>
      <c r="Q155" s="218"/>
      <c r="R155" s="218"/>
      <c r="S155" s="86"/>
      <c r="T155" s="9"/>
      <c r="U155" s="9"/>
      <c r="V155" s="86"/>
      <c r="W155" s="86"/>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row>
    <row r="156" spans="1:48" x14ac:dyDescent="0.25">
      <c r="A156" s="86"/>
      <c r="B156" s="86"/>
      <c r="C156" s="217"/>
      <c r="D156" s="218"/>
      <c r="E156" s="218"/>
      <c r="F156" s="218"/>
      <c r="G156" s="218"/>
      <c r="H156" s="218"/>
      <c r="I156" s="218"/>
      <c r="J156" s="218"/>
      <c r="K156" s="218"/>
      <c r="L156" s="218"/>
      <c r="M156" s="218"/>
      <c r="N156" s="218"/>
      <c r="O156" s="218"/>
      <c r="P156" s="218"/>
      <c r="Q156" s="218"/>
      <c r="R156" s="218"/>
      <c r="S156" s="86"/>
      <c r="T156" s="9"/>
      <c r="U156" s="9"/>
      <c r="V156" s="86"/>
      <c r="W156" s="86"/>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row>
    <row r="157" spans="1:48" x14ac:dyDescent="0.25">
      <c r="A157" s="86"/>
      <c r="B157" s="86"/>
      <c r="C157" s="217"/>
      <c r="D157" s="218"/>
      <c r="E157" s="218"/>
      <c r="F157" s="218"/>
      <c r="G157" s="218"/>
      <c r="H157" s="218"/>
      <c r="I157" s="218"/>
      <c r="J157" s="218"/>
      <c r="K157" s="218"/>
      <c r="L157" s="218"/>
      <c r="M157" s="218"/>
      <c r="N157" s="218"/>
      <c r="O157" s="218"/>
      <c r="P157" s="218"/>
      <c r="Q157" s="218"/>
      <c r="R157" s="218"/>
      <c r="S157" s="86"/>
      <c r="T157" s="9"/>
      <c r="U157" s="9"/>
      <c r="V157" s="86"/>
      <c r="W157" s="86"/>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row>
    <row r="158" spans="1:48" x14ac:dyDescent="0.25">
      <c r="A158" s="86"/>
      <c r="B158" s="86"/>
      <c r="C158" s="219"/>
      <c r="D158" s="220"/>
      <c r="E158" s="220"/>
      <c r="F158" s="220"/>
      <c r="G158" s="220"/>
      <c r="H158" s="220"/>
      <c r="I158" s="220"/>
      <c r="J158" s="220"/>
      <c r="K158" s="220"/>
      <c r="L158" s="220"/>
      <c r="M158" s="220"/>
      <c r="N158" s="220"/>
      <c r="O158" s="220"/>
      <c r="P158" s="220"/>
      <c r="Q158" s="220"/>
      <c r="R158" s="220"/>
      <c r="S158" s="86"/>
      <c r="T158" s="9"/>
      <c r="U158" s="9"/>
      <c r="V158" s="86"/>
      <c r="W158" s="86"/>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row>
    <row r="159" ht="15" customHeight="1" spans="1:48" x14ac:dyDescent="0.25">
      <c r="A159" s="9"/>
      <c r="B159" s="9"/>
      <c r="C159" s="228"/>
      <c r="D159" s="223"/>
      <c r="E159" s="223"/>
      <c r="F159" s="223"/>
      <c r="G159" s="223"/>
      <c r="H159" s="223"/>
      <c r="I159" s="223"/>
      <c r="J159" s="223"/>
      <c r="K159" s="223"/>
      <c r="L159" s="223"/>
      <c r="M159" s="223"/>
      <c r="N159" s="223"/>
      <c r="O159" s="223"/>
      <c r="P159" s="223"/>
      <c r="Q159" s="223"/>
      <c r="R159" s="223"/>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row>
    <row r="160" spans="1:48" x14ac:dyDescent="0.25">
      <c r="A160" s="9"/>
      <c r="B160" s="9"/>
      <c r="C160" s="86"/>
      <c r="D160" s="86"/>
      <c r="E160" s="86"/>
      <c r="F160" s="86"/>
      <c r="G160" s="86"/>
      <c r="H160" s="86"/>
      <c r="I160" s="86"/>
      <c r="J160" s="86"/>
      <c r="K160" s="86"/>
      <c r="L160" s="86"/>
      <c r="M160" s="86"/>
      <c r="N160" s="86"/>
      <c r="O160" s="86"/>
      <c r="P160" s="86"/>
      <c r="Q160" s="86"/>
      <c r="R160" s="86"/>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row>
    <row r="161" spans="1:48" x14ac:dyDescent="0.25">
      <c r="A161" s="9"/>
      <c r="B161" s="9"/>
      <c r="C161" s="86"/>
      <c r="D161" s="86"/>
      <c r="E161" s="86"/>
      <c r="F161" s="86"/>
      <c r="G161" s="86"/>
      <c r="H161" s="86"/>
      <c r="I161" s="86"/>
      <c r="J161" s="86"/>
      <c r="K161" s="86"/>
      <c r="L161" s="86"/>
      <c r="M161" s="86"/>
      <c r="N161" s="86"/>
      <c r="O161" s="86"/>
      <c r="P161" s="86"/>
      <c r="Q161" s="86"/>
      <c r="R161" s="86"/>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row>
    <row r="162" spans="1:48"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row>
    <row r="163" spans="1:48"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row>
    <row r="164" spans="1:48"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row>
    <row r="165" spans="1:48"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row>
    <row r="166" spans="1:48"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row>
    <row r="167" spans="1:48"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row>
    <row r="168" spans="1:48"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row>
    <row r="169" spans="1:48"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row>
    <row r="170" spans="1:48"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row>
    <row r="171" ht="18" customHeight="1" spans="1:48"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row>
    <row r="172" spans="1:48"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row>
    <row r="173" spans="1:48"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row>
    <row r="174" spans="1:48"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row>
    <row r="175" spans="1:48"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row>
    <row r="176" spans="1:48"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row>
    <row r="177" spans="1:48"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row>
    <row r="178" spans="1:48"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row>
    <row r="179" spans="1:48"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row>
    <row r="180" spans="1:48"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row>
    <row r="181" spans="1:48" x14ac:dyDescent="0.25">
      <c r="A181" s="9"/>
      <c r="B181" s="9"/>
      <c r="C181" s="9"/>
      <c r="D181" s="9"/>
      <c r="E181" s="9"/>
      <c r="F181" s="9"/>
      <c r="G181" s="9"/>
      <c r="H181" s="9"/>
      <c r="I181" s="9"/>
      <c r="J181" s="9"/>
      <c r="K181" s="9"/>
      <c r="L181" s="9"/>
      <c r="M181" s="9"/>
      <c r="N181" s="9"/>
      <c r="O181" s="9"/>
      <c r="P181" s="9"/>
      <c r="Q181" s="9"/>
      <c r="R181" s="9"/>
      <c r="S181" s="9"/>
      <c r="T181" s="86"/>
      <c r="U181" s="86"/>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row>
    <row r="182" ht="18" customHeight="1" spans="1:48" x14ac:dyDescent="0.25">
      <c r="A182" s="9"/>
      <c r="B182" s="9"/>
      <c r="C182" s="9"/>
      <c r="D182" s="9"/>
      <c r="E182" s="9"/>
      <c r="F182" s="9"/>
      <c r="G182" s="9"/>
      <c r="H182" s="9"/>
      <c r="I182" s="9"/>
      <c r="J182" s="9"/>
      <c r="K182" s="9"/>
      <c r="L182" s="9"/>
      <c r="M182" s="9"/>
      <c r="N182" s="9"/>
      <c r="O182" s="9"/>
      <c r="P182" s="9"/>
      <c r="Q182" s="9"/>
      <c r="R182" s="9"/>
      <c r="S182" s="9"/>
      <c r="T182" s="86"/>
      <c r="U182" s="86"/>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row>
    <row r="183" spans="1:48" x14ac:dyDescent="0.25">
      <c r="A183" s="9"/>
      <c r="B183" s="9"/>
      <c r="C183" s="9"/>
      <c r="D183" s="9"/>
      <c r="E183" s="9"/>
      <c r="F183" s="9"/>
      <c r="G183" s="9"/>
      <c r="H183" s="9"/>
      <c r="I183" s="9"/>
      <c r="J183" s="9"/>
      <c r="K183" s="9"/>
      <c r="L183" s="9"/>
      <c r="M183" s="9"/>
      <c r="N183" s="9"/>
      <c r="O183" s="9"/>
      <c r="P183" s="9"/>
      <c r="Q183" s="9"/>
      <c r="R183" s="9"/>
      <c r="S183" s="9"/>
      <c r="T183" s="86"/>
      <c r="U183" s="86"/>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row>
    <row r="184" spans="1:48" x14ac:dyDescent="0.25">
      <c r="A184" s="9"/>
      <c r="B184" s="9"/>
      <c r="C184" s="9"/>
      <c r="D184" s="9"/>
      <c r="E184" s="9"/>
      <c r="F184" s="9"/>
      <c r="G184" s="9"/>
      <c r="H184" s="9"/>
      <c r="I184" s="9"/>
      <c r="J184" s="9"/>
      <c r="K184" s="9"/>
      <c r="L184" s="9"/>
      <c r="M184" s="9"/>
      <c r="N184" s="9"/>
      <c r="O184" s="9"/>
      <c r="P184" s="9"/>
      <c r="Q184" s="9"/>
      <c r="R184" s="9"/>
      <c r="S184" s="9"/>
      <c r="T184" s="86"/>
      <c r="U184" s="86"/>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row>
    <row r="185" spans="1:48" x14ac:dyDescent="0.25">
      <c r="A185" s="9"/>
      <c r="B185" s="9"/>
      <c r="C185" s="9"/>
      <c r="D185" s="9"/>
      <c r="E185" s="9"/>
      <c r="F185" s="9"/>
      <c r="G185" s="9"/>
      <c r="H185" s="9"/>
      <c r="I185" s="9"/>
      <c r="J185" s="9"/>
      <c r="K185" s="9"/>
      <c r="L185" s="9"/>
      <c r="M185" s="9"/>
      <c r="N185" s="9"/>
      <c r="O185" s="9"/>
      <c r="P185" s="9"/>
      <c r="Q185" s="9"/>
      <c r="R185" s="9"/>
      <c r="S185" s="9"/>
      <c r="T185" s="86"/>
      <c r="U185" s="86"/>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row>
    <row r="186" spans="1:48" x14ac:dyDescent="0.25">
      <c r="A186" s="9"/>
      <c r="B186" s="9"/>
      <c r="C186" s="9"/>
      <c r="D186" s="9"/>
      <c r="E186" s="9"/>
      <c r="F186" s="9"/>
      <c r="G186" s="9"/>
      <c r="H186" s="9"/>
      <c r="I186" s="9"/>
      <c r="J186" s="9"/>
      <c r="K186" s="9"/>
      <c r="L186" s="9"/>
      <c r="M186" s="9"/>
      <c r="N186" s="9"/>
      <c r="O186" s="9"/>
      <c r="P186" s="9"/>
      <c r="Q186" s="9"/>
      <c r="R186" s="9"/>
      <c r="S186" s="9"/>
      <c r="T186" s="86"/>
      <c r="U186" s="86"/>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row>
    <row r="187" spans="1:48" x14ac:dyDescent="0.25">
      <c r="A187" s="9"/>
      <c r="B187" s="9"/>
      <c r="C187" s="9"/>
      <c r="D187" s="9"/>
      <c r="E187" s="9"/>
      <c r="F187" s="9"/>
      <c r="G187" s="9"/>
      <c r="H187" s="9"/>
      <c r="I187" s="9"/>
      <c r="J187" s="9"/>
      <c r="K187" s="9"/>
      <c r="L187" s="9"/>
      <c r="M187" s="9"/>
      <c r="N187" s="9"/>
      <c r="O187" s="9"/>
      <c r="P187" s="9"/>
      <c r="Q187" s="9"/>
      <c r="R187" s="9"/>
      <c r="S187" s="9"/>
      <c r="T187" s="86"/>
      <c r="U187" s="86"/>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row>
    <row r="188" spans="1:48" x14ac:dyDescent="0.25">
      <c r="A188" s="9"/>
      <c r="B188" s="9"/>
      <c r="C188" s="9"/>
      <c r="D188" s="9"/>
      <c r="E188" s="9"/>
      <c r="F188" s="9"/>
      <c r="G188" s="9"/>
      <c r="H188" s="9"/>
      <c r="I188" s="9"/>
      <c r="J188" s="9"/>
      <c r="K188" s="9"/>
      <c r="L188" s="9"/>
      <c r="M188" s="9"/>
      <c r="N188" s="9"/>
      <c r="O188" s="9"/>
      <c r="P188" s="9"/>
      <c r="Q188" s="9"/>
      <c r="R188" s="9"/>
      <c r="S188" s="9"/>
      <c r="T188" s="86"/>
      <c r="U188" s="86"/>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row>
    <row r="189" spans="1:48" x14ac:dyDescent="0.25">
      <c r="A189" s="9"/>
      <c r="B189" s="9"/>
      <c r="C189" s="9"/>
      <c r="D189" s="9"/>
      <c r="E189" s="9"/>
      <c r="F189" s="9"/>
      <c r="G189" s="9"/>
      <c r="H189" s="9"/>
      <c r="I189" s="9"/>
      <c r="J189" s="9"/>
      <c r="K189" s="9"/>
      <c r="L189" s="9"/>
      <c r="M189" s="9"/>
      <c r="N189" s="9"/>
      <c r="O189" s="9"/>
      <c r="P189" s="9"/>
      <c r="Q189" s="9"/>
      <c r="R189" s="9"/>
      <c r="S189" s="9"/>
      <c r="T189" s="86"/>
      <c r="U189" s="86"/>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row>
    <row r="190" spans="1:48" x14ac:dyDescent="0.25">
      <c r="A190" s="9"/>
      <c r="B190" s="9"/>
      <c r="C190" s="9"/>
      <c r="D190" s="9"/>
      <c r="E190" s="9"/>
      <c r="F190" s="9"/>
      <c r="G190" s="9"/>
      <c r="H190" s="9"/>
      <c r="I190" s="9"/>
      <c r="J190" s="9"/>
      <c r="K190" s="9"/>
      <c r="L190" s="9"/>
      <c r="M190" s="9"/>
      <c r="N190" s="9"/>
      <c r="O190" s="9"/>
      <c r="P190" s="9"/>
      <c r="Q190" s="9"/>
      <c r="R190" s="9"/>
      <c r="S190" s="9"/>
      <c r="T190" s="86"/>
      <c r="U190" s="86"/>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row>
    <row r="191" spans="1:48" x14ac:dyDescent="0.25">
      <c r="A191" s="9"/>
      <c r="B191" s="9"/>
      <c r="C191" s="9"/>
      <c r="D191" s="9"/>
      <c r="E191" s="9"/>
      <c r="F191" s="9"/>
      <c r="G191" s="9"/>
      <c r="H191" s="9"/>
      <c r="I191" s="9"/>
      <c r="J191" s="9"/>
      <c r="K191" s="9"/>
      <c r="L191" s="9"/>
      <c r="M191" s="9"/>
      <c r="N191" s="9"/>
      <c r="O191" s="9"/>
      <c r="P191" s="9"/>
      <c r="Q191" s="9"/>
      <c r="R191" s="9"/>
      <c r="S191" s="9"/>
      <c r="T191" s="86"/>
      <c r="U191" s="86"/>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row>
    <row r="192" spans="1:48" x14ac:dyDescent="0.25">
      <c r="A192" s="9"/>
      <c r="B192" s="9"/>
      <c r="C192" s="9"/>
      <c r="D192" s="9"/>
      <c r="E192" s="9"/>
      <c r="F192" s="9"/>
      <c r="G192" s="9"/>
      <c r="H192" s="9"/>
      <c r="I192" s="9"/>
      <c r="J192" s="9"/>
      <c r="K192" s="9"/>
      <c r="L192" s="9"/>
      <c r="M192" s="9"/>
      <c r="N192" s="9"/>
      <c r="O192" s="9"/>
      <c r="P192" s="9"/>
      <c r="Q192" s="9"/>
      <c r="R192" s="9"/>
      <c r="S192" s="9"/>
      <c r="T192" s="86"/>
      <c r="U192" s="86"/>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row>
    <row r="193" spans="1:48" x14ac:dyDescent="0.25">
      <c r="A193" s="9"/>
      <c r="B193" s="9"/>
      <c r="C193" s="9"/>
      <c r="D193" s="9"/>
      <c r="E193" s="9"/>
      <c r="F193" s="9"/>
      <c r="G193" s="9"/>
      <c r="H193" s="9"/>
      <c r="I193" s="9"/>
      <c r="J193" s="9"/>
      <c r="K193" s="9"/>
      <c r="L193" s="9"/>
      <c r="M193" s="9"/>
      <c r="N193" s="9"/>
      <c r="O193" s="9"/>
      <c r="P193" s="9"/>
      <c r="Q193" s="9"/>
      <c r="R193" s="9"/>
      <c r="S193" s="9"/>
      <c r="T193" s="86"/>
      <c r="U193" s="86"/>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row>
    <row r="194" spans="1:48" x14ac:dyDescent="0.25">
      <c r="A194" s="9"/>
      <c r="B194" s="9"/>
      <c r="C194" s="9"/>
      <c r="D194" s="9"/>
      <c r="E194" s="9"/>
      <c r="F194" s="9"/>
      <c r="G194" s="9"/>
      <c r="H194" s="9"/>
      <c r="I194" s="9"/>
      <c r="J194" s="9"/>
      <c r="K194" s="9"/>
      <c r="L194" s="9"/>
      <c r="M194" s="9"/>
      <c r="N194" s="9"/>
      <c r="O194" s="9"/>
      <c r="P194" s="9"/>
      <c r="Q194" s="9"/>
      <c r="R194" s="9"/>
      <c r="S194" s="9"/>
      <c r="T194" s="86"/>
      <c r="U194" s="86"/>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row>
    <row r="195" spans="1:48" x14ac:dyDescent="0.25">
      <c r="A195" s="9"/>
      <c r="B195" s="9"/>
      <c r="C195" s="9"/>
      <c r="D195" s="9"/>
      <c r="E195" s="9"/>
      <c r="F195" s="9"/>
      <c r="G195" s="9"/>
      <c r="H195" s="9"/>
      <c r="I195" s="9"/>
      <c r="J195" s="9"/>
      <c r="K195" s="9"/>
      <c r="L195" s="9"/>
      <c r="M195" s="9"/>
      <c r="N195" s="9"/>
      <c r="O195" s="9"/>
      <c r="P195" s="9"/>
      <c r="Q195" s="9"/>
      <c r="R195" s="9"/>
      <c r="S195" s="9"/>
      <c r="T195" s="86"/>
      <c r="U195" s="86"/>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row>
    <row r="196" spans="1:48" x14ac:dyDescent="0.25">
      <c r="A196" s="9"/>
      <c r="B196" s="9"/>
      <c r="C196" s="9"/>
      <c r="D196" s="9"/>
      <c r="E196" s="9"/>
      <c r="F196" s="9"/>
      <c r="G196" s="9"/>
      <c r="H196" s="9"/>
      <c r="I196" s="9"/>
      <c r="J196" s="9"/>
      <c r="K196" s="9"/>
      <c r="L196" s="9"/>
      <c r="M196" s="9"/>
      <c r="N196" s="9"/>
      <c r="O196" s="9"/>
      <c r="P196" s="9"/>
      <c r="Q196" s="9"/>
      <c r="R196" s="9"/>
      <c r="S196" s="9"/>
      <c r="T196" s="86"/>
      <c r="U196" s="86"/>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row>
    <row r="197" spans="1:48" x14ac:dyDescent="0.25">
      <c r="A197" s="9"/>
      <c r="B197" s="9"/>
      <c r="C197" s="9"/>
      <c r="D197" s="9"/>
      <c r="E197" s="9"/>
      <c r="F197" s="9"/>
      <c r="G197" s="9"/>
      <c r="H197" s="9"/>
      <c r="I197" s="9"/>
      <c r="J197" s="9"/>
      <c r="K197" s="9"/>
      <c r="L197" s="9"/>
      <c r="M197" s="9"/>
      <c r="N197" s="9"/>
      <c r="O197" s="9"/>
      <c r="P197" s="9"/>
      <c r="Q197" s="9"/>
      <c r="R197" s="9"/>
      <c r="S197" s="9"/>
      <c r="T197" s="86"/>
      <c r="U197" s="86"/>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row>
    <row r="198" spans="1:48" x14ac:dyDescent="0.25">
      <c r="A198" s="9"/>
      <c r="B198" s="9"/>
      <c r="C198" s="9"/>
      <c r="D198" s="9"/>
      <c r="E198" s="9"/>
      <c r="F198" s="9"/>
      <c r="G198" s="9"/>
      <c r="H198" s="9"/>
      <c r="I198" s="9"/>
      <c r="J198" s="9"/>
      <c r="K198" s="9"/>
      <c r="L198" s="9"/>
      <c r="M198" s="9"/>
      <c r="N198" s="9"/>
      <c r="O198" s="9"/>
      <c r="P198" s="9"/>
      <c r="Q198" s="9"/>
      <c r="R198" s="9"/>
      <c r="S198" s="9"/>
      <c r="T198" s="86"/>
      <c r="U198" s="86"/>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row>
    <row r="199" spans="1:48" x14ac:dyDescent="0.25">
      <c r="A199" s="9"/>
      <c r="B199" s="9"/>
      <c r="C199" s="9"/>
      <c r="D199" s="9"/>
      <c r="E199" s="9"/>
      <c r="F199" s="9"/>
      <c r="G199" s="9"/>
      <c r="H199" s="9"/>
      <c r="I199" s="9"/>
      <c r="J199" s="9"/>
      <c r="K199" s="9"/>
      <c r="L199" s="9"/>
      <c r="M199" s="9"/>
      <c r="N199" s="9"/>
      <c r="O199" s="9"/>
      <c r="P199" s="9"/>
      <c r="Q199" s="9"/>
      <c r="R199" s="9"/>
      <c r="S199" s="86"/>
      <c r="T199" s="86"/>
      <c r="U199" s="86"/>
      <c r="V199" s="86"/>
      <c r="W199" s="86"/>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row>
    <row r="200" spans="1:48" x14ac:dyDescent="0.25">
      <c r="A200" s="9"/>
      <c r="B200" s="9"/>
      <c r="C200" s="9"/>
      <c r="D200" s="9"/>
      <c r="E200" s="9"/>
      <c r="F200" s="9"/>
      <c r="G200" s="9"/>
      <c r="H200" s="9"/>
      <c r="I200" s="9"/>
      <c r="J200" s="9"/>
      <c r="K200" s="9"/>
      <c r="L200" s="9"/>
      <c r="M200" s="9"/>
      <c r="N200" s="9"/>
      <c r="O200" s="9"/>
      <c r="P200" s="9"/>
      <c r="Q200" s="9"/>
      <c r="R200" s="9"/>
      <c r="S200" s="86"/>
      <c r="T200" s="86"/>
      <c r="U200" s="86"/>
      <c r="V200" s="86"/>
      <c r="W200" s="86"/>
      <c r="X200" s="9"/>
      <c r="Y200" s="9"/>
      <c r="Z200" s="9"/>
      <c r="AA200" s="9"/>
      <c r="AB200" s="9"/>
      <c r="AC200" s="9"/>
      <c r="AD200" s="9"/>
      <c r="AE200" s="9"/>
      <c r="AF200" s="9"/>
      <c r="AG200" s="9"/>
      <c r="AH200" s="9"/>
      <c r="AI200" s="86"/>
      <c r="AJ200" s="86"/>
      <c r="AK200" s="86"/>
      <c r="AL200" s="86"/>
      <c r="AM200" s="86"/>
      <c r="AN200" s="86"/>
      <c r="AO200" s="86"/>
      <c r="AP200" s="86"/>
      <c r="AQ200" s="86"/>
      <c r="AR200" s="86"/>
      <c r="AS200" s="86"/>
      <c r="AT200" s="86"/>
      <c r="AU200" s="86"/>
      <c r="AV200" s="86"/>
    </row>
    <row r="201" spans="1:48" x14ac:dyDescent="0.25">
      <c r="A201" s="9"/>
      <c r="B201" s="9"/>
      <c r="C201" s="9"/>
      <c r="D201" s="9"/>
      <c r="E201" s="9"/>
      <c r="F201" s="9"/>
      <c r="G201" s="9"/>
      <c r="H201" s="9"/>
      <c r="I201" s="9"/>
      <c r="J201" s="9"/>
      <c r="K201" s="9"/>
      <c r="L201" s="9"/>
      <c r="M201" s="9"/>
      <c r="N201" s="9"/>
      <c r="O201" s="9"/>
      <c r="P201" s="9"/>
      <c r="Q201" s="9"/>
      <c r="R201" s="9"/>
      <c r="S201" s="86"/>
      <c r="T201" s="86"/>
      <c r="U201" s="86"/>
      <c r="V201" s="86"/>
      <c r="W201" s="86"/>
      <c r="X201" s="9"/>
      <c r="Y201" s="9"/>
      <c r="Z201" s="9"/>
      <c r="AA201" s="9"/>
      <c r="AB201" s="9"/>
      <c r="AC201" s="9"/>
      <c r="AD201" s="9"/>
      <c r="AE201" s="9"/>
      <c r="AF201" s="9"/>
      <c r="AG201" s="9"/>
      <c r="AH201" s="9"/>
      <c r="AI201" s="86"/>
      <c r="AJ201" s="86"/>
      <c r="AK201" s="86"/>
      <c r="AL201" s="86"/>
      <c r="AM201" s="86"/>
      <c r="AN201" s="86"/>
      <c r="AO201" s="86"/>
      <c r="AP201" s="86"/>
      <c r="AQ201" s="86"/>
      <c r="AR201" s="86"/>
      <c r="AS201" s="86"/>
      <c r="AT201" s="86"/>
      <c r="AU201" s="86"/>
      <c r="AV201" s="86"/>
    </row>
    <row r="202" spans="1:48" x14ac:dyDescent="0.25">
      <c r="A202" s="9"/>
      <c r="B202" s="9"/>
      <c r="C202" s="86"/>
      <c r="D202" s="86"/>
      <c r="E202" s="86"/>
      <c r="F202" s="86"/>
      <c r="G202" s="86"/>
      <c r="H202" s="86"/>
      <c r="I202" s="86"/>
      <c r="J202" s="86"/>
      <c r="K202" s="86"/>
      <c r="L202" s="86"/>
      <c r="M202" s="86"/>
      <c r="N202" s="86"/>
      <c r="O202" s="86"/>
      <c r="P202" s="86"/>
      <c r="Q202" s="86"/>
      <c r="R202" s="86"/>
      <c r="S202" s="86"/>
      <c r="T202" s="86"/>
      <c r="U202" s="86"/>
      <c r="V202" s="86"/>
      <c r="W202" s="86"/>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row>
    <row r="203" spans="1:48" x14ac:dyDescent="0.25">
      <c r="A203" s="9"/>
      <c r="B203" s="9"/>
      <c r="C203" s="86"/>
      <c r="D203" s="86"/>
      <c r="E203" s="86"/>
      <c r="F203" s="86"/>
      <c r="G203" s="86"/>
      <c r="H203" s="86"/>
      <c r="I203" s="86"/>
      <c r="J203" s="86"/>
      <c r="K203" s="86"/>
      <c r="L203" s="86"/>
      <c r="M203" s="86"/>
      <c r="N203" s="86"/>
      <c r="O203" s="86"/>
      <c r="P203" s="86"/>
      <c r="Q203" s="86"/>
      <c r="R203" s="86"/>
      <c r="S203" s="86"/>
      <c r="T203" s="86"/>
      <c r="U203" s="86"/>
      <c r="V203" s="86"/>
      <c r="W203" s="86"/>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row>
  </sheetData>
  <mergeCells count="7">
    <mergeCell ref="A1:E1"/>
    <mergeCell ref="A3:A5"/>
    <mergeCell ref="B3:B5"/>
    <mergeCell ref="D6:E6"/>
    <mergeCell ref="A17:B17"/>
    <mergeCell ref="AM52:AO52"/>
    <mergeCell ref="A126:B126"/>
  </mergeCell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workbookViewId="0" showGridLines="0" zoomScale="63" zoomScaleNormal="63">
      <selection activeCell="L1" sqref="L1"/>
    </sheetView>
  </sheetViews>
  <sheetFormatPr defaultRowHeight="14.5" outlineLevelRow="0" outlineLevelCol="0" x14ac:dyDescent="0.35" customHeight="1"/>
  <cols>
    <col min="1" max="1" width="65.453125" customWidth="1"/>
    <col min="2" max="2" width="20.1796875" customWidth="1"/>
    <col min="3" max="3" width="24.453125" customWidth="1"/>
    <col min="4" max="4" width="12" customWidth="1"/>
    <col min="8" max="8" width="65.453125" customWidth="1"/>
    <col min="9" max="9" width="21.1796875" customWidth="1"/>
    <col min="10" max="10" width="24.26953125" customWidth="1"/>
    <col min="12" max="12" width="65.453125" customWidth="1"/>
    <col min="13" max="13" width="21.1796875" customWidth="1"/>
    <col min="14" max="14" width="24.453125" customWidth="1"/>
  </cols>
  <sheetData>
    <row r="1" ht="37" customHeight="1" spans="1:14" x14ac:dyDescent="0.25">
      <c r="A1" s="260" t="s">
        <v>146</v>
      </c>
      <c r="B1" s="261"/>
      <c r="C1" s="262"/>
      <c r="D1" s="9"/>
      <c r="E1" s="9"/>
      <c r="H1" s="260" t="s">
        <v>146</v>
      </c>
      <c r="I1" s="261"/>
      <c r="J1" s="262"/>
      <c r="L1" s="260" t="s">
        <v>146</v>
      </c>
      <c r="M1" s="261"/>
      <c r="N1" s="262"/>
    </row>
    <row r="2" ht="24" customHeight="1" spans="1:14" x14ac:dyDescent="0.25">
      <c r="A2" s="263" t="str">
        <f>C6&amp;" Annual Budget"</f>
        <v>2025 Annual Budget</v>
      </c>
      <c r="B2" s="263"/>
      <c r="C2" s="264"/>
      <c r="D2" s="9"/>
      <c r="E2" s="9"/>
      <c r="H2" s="263" t="str">
        <f>J6&amp;" Annual Budget"</f>
        <v>2026 Annual Budget</v>
      </c>
      <c r="I2" s="263"/>
      <c r="J2" s="264"/>
      <c r="L2" s="263" t="str">
        <f>N6&amp;" Annual Budget"</f>
        <v>2027 Annual Budget</v>
      </c>
      <c r="M2" s="263"/>
      <c r="N2" s="264"/>
    </row>
    <row r="3" ht="20.5" customHeight="1" spans="1:14" x14ac:dyDescent="0.25">
      <c r="A3" s="6" t="e">
        <v>#VALUE!</v>
      </c>
      <c r="B3" s="6"/>
      <c r="C3" s="265"/>
      <c r="D3" s="9"/>
      <c r="E3" s="9"/>
      <c r="H3" s="6" t="e">
        <v>#VALUE!</v>
      </c>
      <c r="I3" s="6"/>
      <c r="J3" s="265"/>
      <c r="L3" s="6" t="e">
        <v>#VALUE!</v>
      </c>
      <c r="M3" s="6"/>
      <c r="N3" s="265"/>
    </row>
    <row r="4" ht="20.5" customHeight="1" spans="1:14" x14ac:dyDescent="0.25">
      <c r="A4"/>
      <c r="B4" s="23" t="s">
        <v>147</v>
      </c>
      <c r="C4" s="24">
        <f>LOOKUP(C5,'Updated Multi-Year Budget'!C8:V8,'Updated Multi-Year Budget'!C73:V73)</f>
        <v>1</v>
      </c>
      <c r="D4" s="9"/>
      <c r="E4" s="9"/>
      <c r="H4"/>
      <c r="I4" s="23" t="s">
        <v>147</v>
      </c>
      <c r="J4" s="24">
        <v>2</v>
      </c>
      <c r="L4"/>
      <c r="M4" s="23" t="s">
        <v>147</v>
      </c>
      <c r="N4" s="24">
        <v>3</v>
      </c>
    </row>
    <row r="5" ht="20.5" customHeight="1" spans="1:14" x14ac:dyDescent="0.25">
      <c r="A5"/>
      <c r="B5" s="23" t="s">
        <v>25</v>
      </c>
      <c r="C5" s="24">
        <v>2024</v>
      </c>
      <c r="D5" s="9"/>
      <c r="E5" s="9"/>
      <c r="H5"/>
      <c r="I5" s="23" t="s">
        <v>25</v>
      </c>
      <c r="J5" s="24">
        <v>2025</v>
      </c>
      <c r="L5"/>
      <c r="M5" s="23" t="s">
        <v>25</v>
      </c>
      <c r="N5" s="24">
        <v>2026</v>
      </c>
    </row>
    <row r="6" ht="20.5" customHeight="1" spans="1:14" x14ac:dyDescent="0.25">
      <c r="A6" s="266"/>
      <c r="B6" s="23" t="s">
        <v>26</v>
      </c>
      <c r="C6" s="27">
        <f>LOOKUP(C5,'Updated Multi-Year Budget'!C8:V8,'Updated Multi-Year Budget'!C9:V9)</f>
        <v>2025</v>
      </c>
      <c r="D6" s="9"/>
      <c r="E6" s="9"/>
      <c r="H6" s="266"/>
      <c r="I6" s="23" t="s">
        <v>26</v>
      </c>
      <c r="J6" s="27">
        <v>2026</v>
      </c>
      <c r="L6" s="266"/>
      <c r="M6" s="23" t="s">
        <v>26</v>
      </c>
      <c r="N6" s="27">
        <v>2027</v>
      </c>
    </row>
    <row r="7" spans="1:14" x14ac:dyDescent="0.25">
      <c r="A7" s="39" t="s">
        <v>29</v>
      </c>
      <c r="B7" s="42"/>
      <c r="C7" s="42"/>
      <c r="D7" s="9"/>
      <c r="E7" s="9"/>
      <c r="H7" s="39" t="s">
        <v>29</v>
      </c>
      <c r="I7" s="42"/>
      <c r="J7" s="42"/>
      <c r="L7" s="39" t="s">
        <v>29</v>
      </c>
      <c r="M7" s="42"/>
      <c r="N7" s="42"/>
    </row>
    <row r="8" ht="18" customHeight="1" spans="1:14" s="38" customFormat="1" x14ac:dyDescent="0.25">
      <c r="A8" s="267" t="s">
        <v>30</v>
      </c>
      <c r="B8" s="43"/>
      <c r="C8" s="43"/>
      <c r="H8" s="267" t="s">
        <v>30</v>
      </c>
      <c r="I8" s="43"/>
      <c r="J8" s="43"/>
      <c r="L8" s="267" t="s">
        <v>30</v>
      </c>
      <c r="M8" s="43"/>
      <c r="N8" s="43"/>
    </row>
    <row r="9" ht="15" customHeight="1" spans="1:14" s="38" customFormat="1" x14ac:dyDescent="0.25">
      <c r="A9" s="47" t="s">
        <v>32</v>
      </c>
      <c r="B9" s="49"/>
      <c r="C9" s="49">
        <f>'Updated Multi-Year Budget'!C14</f>
        <v>12506715</v>
      </c>
      <c r="H9" s="47" t="s">
        <v>32</v>
      </c>
      <c r="I9" s="49"/>
      <c r="J9" s="49">
        <f>'Updated Multi-Year Budget'!D14</f>
        <v>19825000</v>
      </c>
      <c r="L9" s="47" t="s">
        <v>32</v>
      </c>
      <c r="M9" s="49"/>
      <c r="N9" s="49">
        <f>'Updated Multi-Year Budget'!E14</f>
        <v>27450000</v>
      </c>
    </row>
    <row r="10" spans="1:14" x14ac:dyDescent="0.25">
      <c r="A10" s="47" t="s">
        <v>34</v>
      </c>
      <c r="B10" s="53"/>
      <c r="C10" s="53">
        <f>LOOKUP($C$5,'Updated Multi-Year Budget'!$C$8:$V$8,'Updated Multi-Year Budget'!C15:V15)</f>
        <v>0</v>
      </c>
      <c r="D10" s="12"/>
      <c r="E10" s="9"/>
      <c r="H10" s="47" t="s">
        <v>34</v>
      </c>
      <c r="I10" s="53"/>
      <c r="J10" s="53">
        <f>LOOKUP($C$5,'Updated Multi-Year Budget'!$C$8:$V$8,'Updated Multi-Year Budget'!J15:AC15)</f>
        <v>0</v>
      </c>
      <c r="L10" s="47" t="s">
        <v>34</v>
      </c>
      <c r="M10" s="53"/>
      <c r="N10" s="53">
        <f>LOOKUP($C$5,'Updated Multi-Year Budget'!$C$8:$V$8,'Updated Multi-Year Budget'!N15:AG15)</f>
        <v>0</v>
      </c>
    </row>
    <row r="11" spans="1:14" x14ac:dyDescent="0.25">
      <c r="A11" s="47" t="s">
        <v>35</v>
      </c>
      <c r="B11" s="57"/>
      <c r="C11" s="57">
        <f>'Updated Multi-Year Budget'!C16</f>
        <v>138117</v>
      </c>
      <c r="D11" s="12"/>
      <c r="E11" s="9"/>
      <c r="H11" s="47" t="s">
        <v>35</v>
      </c>
      <c r="I11" s="57"/>
      <c r="J11" s="57">
        <f>'Updated Multi-Year Budget'!C16</f>
        <v>138117</v>
      </c>
      <c r="L11" s="47" t="s">
        <v>35</v>
      </c>
      <c r="M11" s="57"/>
      <c r="N11" s="57">
        <f>'Updated Multi-Year Budget'!E16</f>
        <v>138117</v>
      </c>
    </row>
    <row r="12" spans="1:14" x14ac:dyDescent="0.25">
      <c r="A12" s="61" t="s">
        <v>36</v>
      </c>
      <c r="B12" s="63"/>
      <c r="C12" s="63">
        <f>LOOKUP($C$5,'Updated Multi-Year Budget'!$C$8:$V$8,'Updated Multi-Year Budget'!C17:V17)</f>
        <v>12644832</v>
      </c>
      <c r="D12" s="12"/>
      <c r="E12" s="9"/>
      <c r="H12" s="61" t="s">
        <v>36</v>
      </c>
      <c r="I12" s="63"/>
      <c r="J12" s="63">
        <f>SUM(J9:J11)</f>
        <v>19963117</v>
      </c>
      <c r="L12" s="61" t="s">
        <v>36</v>
      </c>
      <c r="M12" s="63"/>
      <c r="N12" s="63">
        <f>SUM(N9:N11)</f>
        <v>27588117</v>
      </c>
    </row>
    <row r="13" spans="1:14" x14ac:dyDescent="0.25">
      <c r="A13" s="47" t="s">
        <v>37</v>
      </c>
      <c r="B13" s="53"/>
      <c r="C13" s="53">
        <f>LOOKUP($C$5,'Updated Multi-Year Budget'!$C$8:$V$8,'Updated Multi-Year Budget'!C22:V22)</f>
        <v>0</v>
      </c>
      <c r="D13" s="12"/>
      <c r="E13" s="9"/>
      <c r="H13" s="47" t="s">
        <v>37</v>
      </c>
      <c r="I13" s="53"/>
      <c r="J13" s="53">
        <f>LOOKUP($C$5,'Updated Multi-Year Budget'!$C$8:$V$8,'Updated Multi-Year Budget'!J22:AC22)</f>
        <v>0</v>
      </c>
      <c r="L13" s="47" t="s">
        <v>37</v>
      </c>
      <c r="M13" s="53"/>
      <c r="N13" s="53">
        <f>LOOKUP($C$5,'Updated Multi-Year Budget'!$C$8:$V$8,'Updated Multi-Year Budget'!N22:AG22)</f>
        <v>0</v>
      </c>
    </row>
    <row r="14" spans="1:14" x14ac:dyDescent="0.25">
      <c r="A14" s="61" t="s">
        <v>38</v>
      </c>
      <c r="B14" s="63"/>
      <c r="C14" s="63">
        <f>C12-C13</f>
        <v>12644832</v>
      </c>
      <c r="D14" s="12"/>
      <c r="E14" s="9"/>
      <c r="H14" s="61" t="s">
        <v>38</v>
      </c>
      <c r="I14" s="63"/>
      <c r="J14" s="63">
        <f>J12-J13</f>
        <v>19963117</v>
      </c>
      <c r="L14" s="61" t="s">
        <v>38</v>
      </c>
      <c r="M14" s="63"/>
      <c r="N14" s="63">
        <f>N12-N13</f>
        <v>27588117</v>
      </c>
    </row>
    <row r="15" spans="1:14" x14ac:dyDescent="0.25">
      <c r="A15" s="267" t="s">
        <v>39</v>
      </c>
      <c r="B15" s="268"/>
      <c r="C15" s="268" t="s">
        <v>148</v>
      </c>
      <c r="D15" s="9"/>
      <c r="E15" s="9"/>
      <c r="H15" s="267" t="s">
        <v>39</v>
      </c>
      <c r="I15" s="268"/>
      <c r="J15" s="268" t="s">
        <v>148</v>
      </c>
      <c r="L15" s="267" t="s">
        <v>39</v>
      </c>
      <c r="M15" s="268"/>
      <c r="N15" s="268" t="s">
        <v>148</v>
      </c>
    </row>
    <row r="16" spans="1:14" x14ac:dyDescent="0.25">
      <c r="A16" s="47" t="str">
        <f>'Updated Multi-Year Budget'!A26</f>
        <v>Tooele County</v>
      </c>
      <c r="B16" s="269"/>
      <c r="C16" s="269">
        <f>LOOKUP($C$5,'Updated Multi-Year Budget'!$C$8:$V$8,'Updated Multi-Year Budget'!C26:V26)</f>
        <v>0.001255</v>
      </c>
      <c r="D16" s="9"/>
      <c r="E16" s="9"/>
      <c r="H16" s="47" t="s">
        <v>51</v>
      </c>
      <c r="I16" s="269"/>
      <c r="J16" s="269">
        <f>LOOKUP($C$5,'Updated Multi-Year Budget'!$C$8:$V$8,'Updated Multi-Year Budget'!J26:AC26)</f>
        <v>0.000951</v>
      </c>
      <c r="L16" s="47" t="s">
        <v>51</v>
      </c>
      <c r="M16" s="269"/>
      <c r="N16" s="269">
        <f>LOOKUP($C$5,'Updated Multi-Year Budget'!$C$8:$V$8,'Updated Multi-Year Budget'!N26:AG26)</f>
        <v>0.000951</v>
      </c>
    </row>
    <row r="17" spans="1:14" x14ac:dyDescent="0.25">
      <c r="A17" s="47" t="str">
        <f>'Updated Multi-Year Budget'!A27</f>
        <v>Tooele County School District</v>
      </c>
      <c r="B17" s="270"/>
      <c r="C17" s="270">
        <f>LOOKUP($C$5,'Updated Multi-Year Budget'!$C$8:$V$8,'Updated Multi-Year Budget'!C27:V27)</f>
        <v>0.008954</v>
      </c>
      <c r="D17" s="9"/>
      <c r="E17" s="9"/>
      <c r="H17" s="47" t="s">
        <v>52</v>
      </c>
      <c r="I17" s="270"/>
      <c r="J17" s="270">
        <f>LOOKUP($C$5,'Updated Multi-Year Budget'!$C$8:$V$8,'Updated Multi-Year Budget'!J27:AC27)</f>
        <v>0.006678</v>
      </c>
      <c r="L17" s="47" t="s">
        <v>52</v>
      </c>
      <c r="M17" s="270"/>
      <c r="N17" s="270">
        <f>LOOKUP($C$5,'Updated Multi-Year Budget'!$C$8:$V$8,'Updated Multi-Year Budget'!N27:AG27)</f>
        <v>0.006678</v>
      </c>
    </row>
    <row r="18" spans="1:14" x14ac:dyDescent="0.25">
      <c r="A18" s="47" t="str">
        <f>'Updated Multi-Year Budget'!A28</f>
        <v>Tooele City</v>
      </c>
      <c r="B18" s="270"/>
      <c r="C18" s="270">
        <f>LOOKUP($C$5,'Updated Multi-Year Budget'!$C$8:$V$8,'Updated Multi-Year Budget'!C28:V28)</f>
        <v>0.002554</v>
      </c>
      <c r="D18" s="9"/>
      <c r="E18" s="9"/>
      <c r="H18" s="47" t="s">
        <v>53</v>
      </c>
      <c r="I18" s="270"/>
      <c r="J18" s="270">
        <f>LOOKUP($C$5,'Updated Multi-Year Budget'!$C$8:$V$8,'Updated Multi-Year Budget'!J28:AC28)</f>
        <v>0.002301</v>
      </c>
      <c r="L18" s="47" t="s">
        <v>53</v>
      </c>
      <c r="M18" s="270"/>
      <c r="N18" s="270">
        <f>LOOKUP($C$5,'Updated Multi-Year Budget'!$C$8:$V$8,'Updated Multi-Year Budget'!N28:AG28)</f>
        <v>0.002301</v>
      </c>
    </row>
    <row r="19" spans="1:14" x14ac:dyDescent="0.25">
      <c r="A19" s="271" t="s">
        <v>149</v>
      </c>
      <c r="B19" s="272"/>
      <c r="C19" s="272">
        <f>C16+C18+C17</f>
        <v>0.012763</v>
      </c>
      <c r="D19" s="9"/>
      <c r="E19" s="9"/>
      <c r="H19" s="271" t="s">
        <v>149</v>
      </c>
      <c r="I19" s="272"/>
      <c r="J19" s="272">
        <f>J16+J18+J17</f>
        <v>0.00993</v>
      </c>
      <c r="L19" s="271" t="s">
        <v>149</v>
      </c>
      <c r="M19" s="272"/>
      <c r="N19" s="272">
        <f>N16+N18+N17</f>
        <v>0.00993</v>
      </c>
    </row>
    <row r="20" spans="1:14" x14ac:dyDescent="0.25">
      <c r="A20" s="267" t="s">
        <v>150</v>
      </c>
      <c r="B20" s="43"/>
      <c r="C20" s="43"/>
      <c r="D20" s="273"/>
      <c r="E20" s="9"/>
      <c r="H20" s="267" t="s">
        <v>150</v>
      </c>
      <c r="I20" s="43"/>
      <c r="J20" s="274"/>
      <c r="L20" s="267" t="s">
        <v>150</v>
      </c>
      <c r="M20" s="43"/>
      <c r="N20" s="274"/>
    </row>
    <row r="21" spans="1:14" x14ac:dyDescent="0.25">
      <c r="A21" s="47" t="str">
        <f>A16</f>
        <v>Tooele County</v>
      </c>
      <c r="B21" s="49"/>
      <c r="C21" s="49">
        <f>'Updated Multi-Year Budget'!C32</f>
        <v>15869.26416</v>
      </c>
      <c r="D21" s="9"/>
      <c r="E21" s="9"/>
      <c r="H21" s="47" t="s">
        <v>51</v>
      </c>
      <c r="I21" s="48"/>
      <c r="J21" s="49">
        <f>'Updated Multi-Year Budget'!D32</f>
        <v>18984.924267000002</v>
      </c>
      <c r="L21" s="47" t="s">
        <v>51</v>
      </c>
      <c r="M21" s="48"/>
      <c r="N21" s="49">
        <f>'Updated Multi-Year Budget'!E32</f>
        <v>26236.299267000002</v>
      </c>
    </row>
    <row r="22" spans="1:14" x14ac:dyDescent="0.25">
      <c r="A22" s="47" t="str">
        <f>A17</f>
        <v>Tooele County School District</v>
      </c>
      <c r="B22" s="53"/>
      <c r="C22" s="53">
        <f>'Updated Multi-Year Budget'!C33</f>
        <v>113221.825728</v>
      </c>
      <c r="D22" s="9"/>
      <c r="E22" s="9"/>
      <c r="H22" s="47" t="s">
        <v>52</v>
      </c>
      <c r="I22" s="52"/>
      <c r="J22" s="275">
        <f>'Updated Multi-Year Budget'!D33</f>
        <v>133313.69532600002</v>
      </c>
      <c r="L22" s="47" t="s">
        <v>52</v>
      </c>
      <c r="M22" s="52"/>
      <c r="N22" s="275">
        <f>'Updated Multi-Year Budget'!E33</f>
        <v>184233.44532600002</v>
      </c>
    </row>
    <row r="23" spans="1:14" x14ac:dyDescent="0.25">
      <c r="A23" s="47" t="str">
        <f>A18</f>
        <v>Tooele City</v>
      </c>
      <c r="B23" s="53"/>
      <c r="C23" s="53">
        <f>'Updated Multi-Year Budget'!C34</f>
        <v>32294.900928</v>
      </c>
      <c r="D23" s="9"/>
      <c r="E23" s="9"/>
      <c r="H23" s="47" t="s">
        <v>53</v>
      </c>
      <c r="I23" s="52"/>
      <c r="J23" s="276">
        <f>'Updated Multi-Year Budget'!D34</f>
        <v>45935.132217000006</v>
      </c>
      <c r="L23" s="47" t="s">
        <v>53</v>
      </c>
      <c r="M23" s="52"/>
      <c r="N23" s="276">
        <f>'Updated Multi-Year Budget'!E34</f>
        <v>63480.257217000006</v>
      </c>
    </row>
    <row r="24" spans="1:14" x14ac:dyDescent="0.25">
      <c r="A24" s="271" t="s">
        <v>151</v>
      </c>
      <c r="B24" s="63"/>
      <c r="C24" s="63">
        <f>LOOKUP($C$5,'Updated Multi-Year Budget'!$C$8:$V$8,'Updated Multi-Year Budget'!C35:V35)</f>
        <v>161385.990816</v>
      </c>
      <c r="D24" s="9"/>
      <c r="E24" s="9"/>
      <c r="H24" s="271" t="s">
        <v>151</v>
      </c>
      <c r="I24" s="63"/>
      <c r="J24" s="277">
        <f>SUM(J21:J23)</f>
        <v>198233.75181000002</v>
      </c>
      <c r="L24" s="271" t="s">
        <v>151</v>
      </c>
      <c r="M24" s="63"/>
      <c r="N24" s="277">
        <f>SUM(N21:N23)</f>
        <v>273950.00181000005</v>
      </c>
    </row>
    <row r="25" spans="1:14" x14ac:dyDescent="0.25">
      <c r="A25" s="267" t="s">
        <v>50</v>
      </c>
      <c r="B25" s="43"/>
      <c r="C25" s="43"/>
      <c r="D25" s="9"/>
      <c r="E25" s="9"/>
      <c r="H25" s="267" t="s">
        <v>50</v>
      </c>
      <c r="I25" s="43"/>
      <c r="J25" s="43"/>
      <c r="L25" s="267" t="s">
        <v>50</v>
      </c>
      <c r="M25" s="43"/>
      <c r="N25" s="43"/>
    </row>
    <row r="26" spans="1:14" x14ac:dyDescent="0.25">
      <c r="A26" s="47" t="s">
        <v>51</v>
      </c>
      <c r="B26" s="90"/>
      <c r="C26" s="90">
        <f>'Updated Multi-Year Budget'!C38</f>
        <v>0.75</v>
      </c>
      <c r="D26" s="9"/>
      <c r="E26" s="9"/>
      <c r="H26" s="47" t="s">
        <v>51</v>
      </c>
      <c r="I26" s="90"/>
      <c r="J26" s="90">
        <f>'Updated Multi-Year Budget'!J38</f>
        <v>0.75</v>
      </c>
      <c r="L26" s="47" t="s">
        <v>51</v>
      </c>
      <c r="M26" s="90"/>
      <c r="N26" s="90">
        <f>'Updated Multi-Year Budget'!N38</f>
        <v>0.75</v>
      </c>
    </row>
    <row r="27" spans="1:14" x14ac:dyDescent="0.25">
      <c r="A27" s="47" t="s">
        <v>52</v>
      </c>
      <c r="B27" s="94"/>
      <c r="C27" s="94">
        <f>'Updated Multi-Year Budget'!C39</f>
        <v>0.5</v>
      </c>
      <c r="D27" s="9"/>
      <c r="E27" s="9"/>
      <c r="H27" s="47" t="s">
        <v>52</v>
      </c>
      <c r="I27" s="94"/>
      <c r="J27" s="94">
        <f>'Updated Multi-Year Budget'!J39</f>
        <v>0.5</v>
      </c>
      <c r="L27" s="47" t="s">
        <v>52</v>
      </c>
      <c r="M27" s="94"/>
      <c r="N27" s="94">
        <f>'Updated Multi-Year Budget'!N39</f>
        <v>0.5</v>
      </c>
    </row>
    <row r="28" spans="1:14" x14ac:dyDescent="0.25">
      <c r="A28" s="97" t="s">
        <v>53</v>
      </c>
      <c r="B28" s="99"/>
      <c r="C28" s="99">
        <f>'Updated Multi-Year Budget'!C40</f>
        <v>0.75</v>
      </c>
      <c r="D28" s="9"/>
      <c r="E28" s="9"/>
      <c r="H28" s="97" t="s">
        <v>53</v>
      </c>
      <c r="I28" s="99"/>
      <c r="J28" s="99">
        <f>'Updated Multi-Year Budget'!J40</f>
        <v>0.75</v>
      </c>
      <c r="L28" s="97" t="s">
        <v>53</v>
      </c>
      <c r="M28" s="99"/>
      <c r="N28" s="99">
        <f>'Updated Multi-Year Budget'!N40</f>
        <v>0.75</v>
      </c>
    </row>
    <row r="29" ht="15" customHeight="1" spans="1:14" x14ac:dyDescent="0.25">
      <c r="A29" s="278"/>
      <c r="B29" s="104"/>
      <c r="C29" s="279"/>
      <c r="D29" s="9"/>
      <c r="E29" s="9"/>
      <c r="H29" s="278"/>
      <c r="I29" s="104"/>
      <c r="J29" s="279"/>
      <c r="L29" s="278"/>
      <c r="M29" s="104"/>
      <c r="N29" s="279"/>
    </row>
    <row r="30" spans="1:14" x14ac:dyDescent="0.25">
      <c r="A30" s="267" t="s">
        <v>54</v>
      </c>
      <c r="B30" s="74"/>
      <c r="C30" s="43"/>
      <c r="D30" s="9"/>
      <c r="E30" s="9"/>
      <c r="H30" s="267" t="s">
        <v>54</v>
      </c>
      <c r="I30" s="74"/>
      <c r="J30" s="274"/>
      <c r="L30" s="267" t="s">
        <v>54</v>
      </c>
      <c r="M30" s="74"/>
      <c r="N30" s="274"/>
    </row>
    <row r="31" spans="1:14" x14ac:dyDescent="0.25">
      <c r="A31" s="47" t="str">
        <f>A21</f>
        <v>Tooele County</v>
      </c>
      <c r="B31" s="49"/>
      <c r="C31" s="49">
        <f>'Updated Multi-Year Budget'!C43</f>
        <v>11901.948120000001</v>
      </c>
      <c r="D31" s="9"/>
      <c r="E31" s="9"/>
      <c r="H31" s="47" t="str">
        <f>H21</f>
        <v>Tooele County</v>
      </c>
      <c r="I31" s="48"/>
      <c r="J31" s="49">
        <f>'Updated Multi-Year Budget'!C43</f>
        <v>11901.948120000001</v>
      </c>
      <c r="L31" s="47" t="str">
        <f>L21</f>
        <v>Tooele County</v>
      </c>
      <c r="M31" s="48"/>
      <c r="N31" s="49">
        <f>'Updated Multi-Year Budget'!E43</f>
        <v>19677.224450250003</v>
      </c>
    </row>
    <row r="32" spans="1:14" x14ac:dyDescent="0.25">
      <c r="A32" s="47" t="str">
        <f>A22</f>
        <v>Tooele County School District</v>
      </c>
      <c r="B32" s="53"/>
      <c r="C32" s="53">
        <f>'Updated Multi-Year Budget'!C44</f>
        <v>56610.912864</v>
      </c>
      <c r="D32" s="9"/>
      <c r="E32" s="9"/>
      <c r="H32" s="47" t="str">
        <f>H22</f>
        <v>Tooele County School District</v>
      </c>
      <c r="I32" s="52"/>
      <c r="J32" s="275">
        <f>'Updated Multi-Year Budget'!C44</f>
        <v>56610.912864</v>
      </c>
      <c r="L32" s="47" t="str">
        <f>L22</f>
        <v>Tooele County School District</v>
      </c>
      <c r="M32" s="52"/>
      <c r="N32" s="275">
        <f>'Updated Multi-Year Budget'!E44</f>
        <v>92116.72266300001</v>
      </c>
    </row>
    <row r="33" spans="1:14" x14ac:dyDescent="0.25">
      <c r="A33" s="97" t="str">
        <f>A23</f>
        <v>Tooele City</v>
      </c>
      <c r="B33" s="53"/>
      <c r="C33" s="53">
        <f>'Updated Multi-Year Budget'!C45</f>
        <v>24221.175696</v>
      </c>
      <c r="D33" s="9"/>
      <c r="E33" s="9"/>
      <c r="H33" s="97" t="str">
        <f>H23</f>
        <v>Tooele City</v>
      </c>
      <c r="I33" s="52"/>
      <c r="J33" s="276">
        <f>'Updated Multi-Year Budget'!C45</f>
        <v>24221.175696</v>
      </c>
      <c r="L33" s="97" t="str">
        <f>L23</f>
        <v>Tooele City</v>
      </c>
      <c r="M33" s="52"/>
      <c r="N33" s="276">
        <f>'Updated Multi-Year Budget'!E45</f>
        <v>47610.192912750004</v>
      </c>
    </row>
    <row r="34" spans="1:14" x14ac:dyDescent="0.25">
      <c r="A34" s="271" t="s">
        <v>152</v>
      </c>
      <c r="B34" s="63"/>
      <c r="C34" s="63">
        <f>SUM(C31:C33)</f>
        <v>92734.03667999999</v>
      </c>
      <c r="D34" s="9"/>
      <c r="E34" s="9"/>
      <c r="H34" s="271" t="s">
        <v>152</v>
      </c>
      <c r="I34" s="63"/>
      <c r="J34" s="277">
        <f>SUM(J31:J33)</f>
        <v>92734.03667999999</v>
      </c>
      <c r="L34" s="271" t="s">
        <v>152</v>
      </c>
      <c r="M34" s="63"/>
      <c r="N34" s="277">
        <f>SUM(N31:N33)</f>
        <v>159404.140026</v>
      </c>
    </row>
    <row r="35" spans="1:14" x14ac:dyDescent="0.25">
      <c r="A35" s="47" t="str">
        <f>'Updated Multi-Year Budget'!A47</f>
        <v>Interest Revenues Earned </v>
      </c>
      <c r="B35" s="49"/>
      <c r="C35" s="49">
        <f>LOOKUP($C$5,'Updated Multi-Year Budget'!$C$8:$V$8,'Updated Multi-Year Budget'!C47:V47)</f>
        <v>0</v>
      </c>
      <c r="D35" s="9"/>
      <c r="E35" s="9"/>
      <c r="H35" s="47" t="s">
        <v>153</v>
      </c>
      <c r="I35" s="49"/>
      <c r="J35" s="49">
        <f>LOOKUP($C$5,'Updated Multi-Year Budget'!$C$8:$V$8,'Updated Multi-Year Budget'!J47:AC47)</f>
        <v>0</v>
      </c>
      <c r="L35" s="47" t="s">
        <v>153</v>
      </c>
      <c r="M35" s="49"/>
      <c r="N35" s="49">
        <f>LOOKUP($C$5,'Updated Multi-Year Budget'!$C$8:$V$8,'Updated Multi-Year Budget'!N47:AG47)</f>
        <v>0</v>
      </c>
    </row>
    <row r="36" spans="1:14" x14ac:dyDescent="0.25">
      <c r="A36" s="47" t="str">
        <f>'Updated Multi-Year Budget'!A48</f>
        <v>Total Tax Uncollected Tax Increment</v>
      </c>
      <c r="B36" s="53"/>
      <c r="C36" s="53">
        <f>LOOKUP($C$5,'Updated Multi-Year Budget'!$C$8:$V$8,'Updated Multi-Year Budget'!C48:V48)</f>
        <v>0</v>
      </c>
      <c r="D36" s="9"/>
      <c r="E36" s="9"/>
      <c r="H36" s="47" t="s">
        <v>154</v>
      </c>
      <c r="I36" s="53"/>
      <c r="J36" s="53">
        <f>LOOKUP($C$5,'Updated Multi-Year Budget'!$C$8:$V$8,'Updated Multi-Year Budget'!J48:AC48)</f>
        <v>0</v>
      </c>
      <c r="L36" s="47" t="s">
        <v>154</v>
      </c>
      <c r="M36" s="53"/>
      <c r="N36" s="53">
        <f>LOOKUP($C$5,'Updated Multi-Year Budget'!$C$8:$V$8,'Updated Multi-Year Budget'!N48:AG48)</f>
        <v>0</v>
      </c>
    </row>
    <row r="37" spans="1:14" x14ac:dyDescent="0.25">
      <c r="A37" s="47" t="str">
        <f>'Updated Multi-Year Budget'!A49</f>
        <v>Total Tax Increment Actually Collected and Paid</v>
      </c>
      <c r="B37" s="53"/>
      <c r="C37" s="53">
        <f>LOOKUP($C$5,'Updated Multi-Year Budget'!$C$8:$V$8,'Updated Multi-Year Budget'!C49:V49)</f>
        <v>92734.03667999999</v>
      </c>
      <c r="D37" s="112"/>
      <c r="E37" s="9"/>
      <c r="H37" s="47" t="s">
        <v>61</v>
      </c>
      <c r="I37" s="53"/>
      <c r="J37" s="53">
        <f>'Updated Multi-Year Budget'!D49</f>
        <v>115346.89002600001</v>
      </c>
      <c r="L37" s="47" t="s">
        <v>61</v>
      </c>
      <c r="M37" s="53"/>
      <c r="N37" s="53">
        <f>'Updated Multi-Year Budget'!E49</f>
        <v>159404.140026</v>
      </c>
    </row>
    <row r="38" spans="1:14" x14ac:dyDescent="0.25">
      <c r="A38" s="47" t="s">
        <v>62</v>
      </c>
      <c r="B38" s="53"/>
      <c r="C38" s="53">
        <f>LOOKUP($C$5,'Updated Multi-Year Budget'!$C$8:$V$8,'Updated Multi-Year Budget'!C50:V50)</f>
        <v>150000</v>
      </c>
      <c r="D38" s="112"/>
      <c r="E38" s="9"/>
      <c r="H38" s="47" t="s">
        <v>62</v>
      </c>
      <c r="I38" s="53"/>
      <c r="J38" s="53">
        <f>'Updated Multi-Year Budget'!D50</f>
        <v>150000</v>
      </c>
      <c r="L38" s="47" t="s">
        <v>62</v>
      </c>
      <c r="M38" s="53"/>
      <c r="N38" s="53">
        <f>LOOKUP($C$5,'Updated Multi-Year Budget'!$C$8:$V$8,'Updated Multi-Year Budget'!N50:AG50)</f>
        <v>150000</v>
      </c>
    </row>
    <row r="39" spans="1:14" x14ac:dyDescent="0.25">
      <c r="A39" s="271" t="s">
        <v>63</v>
      </c>
      <c r="B39" s="63"/>
      <c r="C39" s="63">
        <f>LOOKUP($C$5,'Updated Multi-Year Budget'!$C$8:$V$8,'Updated Multi-Year Budget'!C51:V51)</f>
        <v>242734.03668</v>
      </c>
      <c r="D39" s="9"/>
      <c r="E39" s="9"/>
      <c r="H39" s="271" t="s">
        <v>63</v>
      </c>
      <c r="I39" s="63"/>
      <c r="J39" s="63">
        <f>SUM(J35:J38)</f>
        <v>265346.890026</v>
      </c>
      <c r="L39" s="271" t="s">
        <v>63</v>
      </c>
      <c r="M39" s="63"/>
      <c r="N39" s="63">
        <f>SUM(N37:N38)</f>
        <v>309404.140026</v>
      </c>
    </row>
    <row r="40" ht="15" customHeight="1" spans="1:14" x14ac:dyDescent="0.25">
      <c r="A40" s="280"/>
      <c r="B40" s="280"/>
      <c r="C40" s="70"/>
      <c r="D40" s="9"/>
      <c r="E40" s="9"/>
      <c r="H40" s="280"/>
      <c r="I40" s="280"/>
      <c r="J40" s="70"/>
      <c r="L40" s="280"/>
      <c r="M40" s="280"/>
      <c r="N40" s="70"/>
    </row>
    <row r="41" spans="1:14" x14ac:dyDescent="0.25">
      <c r="A41" s="39" t="s">
        <v>67</v>
      </c>
      <c r="B41" s="40"/>
      <c r="C41" s="40"/>
      <c r="D41" s="9"/>
      <c r="E41" s="9"/>
      <c r="H41" s="39" t="s">
        <v>67</v>
      </c>
      <c r="I41" s="40"/>
      <c r="J41" s="40"/>
      <c r="L41" s="39" t="s">
        <v>67</v>
      </c>
      <c r="M41" s="40"/>
      <c r="N41" s="40"/>
    </row>
    <row r="42" spans="1:14" x14ac:dyDescent="0.25">
      <c r="A42" s="267" t="s">
        <v>72</v>
      </c>
      <c r="B42" s="43"/>
      <c r="C42" s="43"/>
      <c r="D42" s="9"/>
      <c r="E42" s="9"/>
      <c r="H42" s="267" t="s">
        <v>72</v>
      </c>
      <c r="I42" s="43"/>
      <c r="J42" s="43"/>
      <c r="L42" s="267" t="s">
        <v>72</v>
      </c>
      <c r="M42" s="43"/>
      <c r="N42" s="43"/>
    </row>
    <row r="43" spans="1:14" x14ac:dyDescent="0.25">
      <c r="A43" s="47" t="s">
        <v>76</v>
      </c>
      <c r="B43" s="49"/>
      <c r="C43" s="53">
        <f>LOOKUP($C$5,'Updated Multi-Year Budget'!$C$8:$V$8,'Updated Multi-Year Budget'!C57:V57)</f>
        <v>4636.7018339999995</v>
      </c>
      <c r="D43" s="9"/>
      <c r="E43" s="9"/>
      <c r="H43" s="47" t="s">
        <v>76</v>
      </c>
      <c r="I43" s="49"/>
      <c r="J43" s="53">
        <f>'Updated Multi-Year Budget'!D57</f>
        <v>5767.344501300001</v>
      </c>
      <c r="L43" s="47" t="s">
        <v>76</v>
      </c>
      <c r="M43" s="49"/>
      <c r="N43" s="53">
        <f>'Updated Multi-Year Budget'!E57</f>
        <v>7970.207001300001</v>
      </c>
    </row>
    <row r="44" ht="16.5" customHeight="1" hidden="1" spans="1:14" x14ac:dyDescent="0.25">
      <c r="A44" s="47" t="s">
        <v>78</v>
      </c>
      <c r="B44" s="53"/>
      <c r="C44" s="53" t="e">
        <f>LOOKUP($C$5,'Updated Multi-Year Budget'!$C$9:$V$9,'Updated Multi-Year Budget'!C58:V58)</f>
        <v>#N/A</v>
      </c>
      <c r="D44" s="9"/>
      <c r="E44" s="9"/>
      <c r="H44" s="47" t="s">
        <v>78</v>
      </c>
      <c r="I44" s="53"/>
      <c r="J44" s="53">
        <f>'Updated Multi-Year Budget'!D58</f>
        <v>0</v>
      </c>
      <c r="L44" s="47" t="s">
        <v>78</v>
      </c>
      <c r="M44" s="53"/>
      <c r="N44" s="53">
        <f>'Updated Multi-Year Budget'!E58</f>
        <v>0</v>
      </c>
    </row>
    <row r="45" spans="1:14" x14ac:dyDescent="0.25">
      <c r="A45" s="47" t="s">
        <v>79</v>
      </c>
      <c r="B45" s="53"/>
      <c r="C45" s="53">
        <f>LOOKUP($C$5,'Updated Multi-Year Budget'!$C$8:$V$8,'Updated Multi-Year Budget'!C59:V59)</f>
        <v>150000</v>
      </c>
      <c r="D45" s="9"/>
      <c r="E45" s="9"/>
      <c r="H45" s="47" t="s">
        <v>79</v>
      </c>
      <c r="I45" s="53"/>
      <c r="J45" s="53">
        <f>'Updated Multi-Year Budget'!D59</f>
        <v>150000</v>
      </c>
      <c r="L45" s="47" t="s">
        <v>79</v>
      </c>
      <c r="M45" s="53"/>
      <c r="N45" s="53">
        <f>'Updated Multi-Year Budget'!E59</f>
        <v>150000</v>
      </c>
    </row>
    <row r="46" spans="1:14" x14ac:dyDescent="0.25">
      <c r="A46" s="47" t="s">
        <v>81</v>
      </c>
      <c r="B46" s="53"/>
      <c r="C46" s="53">
        <f>LOOKUP($C$5,'Updated Multi-Year Budget'!$C$8:$V$8,'Updated Multi-Year Budget'!C60:V60)</f>
        <v>88097.33484599998</v>
      </c>
      <c r="D46" s="12"/>
      <c r="E46" s="9"/>
      <c r="H46" s="47" t="s">
        <v>81</v>
      </c>
      <c r="I46" s="53"/>
      <c r="J46" s="53">
        <f>'Updated Multi-Year Budget'!D60</f>
        <v>109579.5455247</v>
      </c>
      <c r="L46" s="47" t="s">
        <v>81</v>
      </c>
      <c r="M46" s="53"/>
      <c r="N46" s="53">
        <f>'Updated Multi-Year Budget'!E60</f>
        <v>151433.9330247</v>
      </c>
    </row>
    <row r="47" spans="1:14" x14ac:dyDescent="0.25">
      <c r="A47" s="271" t="s">
        <v>83</v>
      </c>
      <c r="B47" s="63"/>
      <c r="C47" s="63">
        <f>LOOKUP($C$5,'Updated Multi-Year Budget'!$C$8:$V$8,'Updated Multi-Year Budget'!C61:V61)</f>
        <v>242734.03668</v>
      </c>
      <c r="D47" s="12"/>
      <c r="E47" s="9"/>
      <c r="H47" s="271" t="s">
        <v>83</v>
      </c>
      <c r="I47" s="63"/>
      <c r="J47" s="63">
        <f>SUM(J43:J46)</f>
        <v>265346.890026</v>
      </c>
      <c r="L47" s="271" t="s">
        <v>83</v>
      </c>
      <c r="M47" s="63"/>
      <c r="N47" s="63">
        <f>SUM(N43:N46)</f>
        <v>309404.140026</v>
      </c>
    </row>
    <row r="48" ht="15" customHeight="1" spans="1:14" x14ac:dyDescent="0.25">
      <c r="A48" s="280"/>
      <c r="B48" s="280"/>
      <c r="C48" s="70"/>
      <c r="D48" s="12"/>
      <c r="E48" s="9"/>
      <c r="H48" s="280"/>
      <c r="I48" s="280"/>
      <c r="J48" s="70"/>
      <c r="L48" s="280"/>
      <c r="M48" s="280"/>
      <c r="N48" s="70"/>
    </row>
    <row r="49" spans="1:14" x14ac:dyDescent="0.25">
      <c r="A49" s="267" t="s">
        <v>85</v>
      </c>
      <c r="B49" s="43"/>
      <c r="C49" s="43"/>
      <c r="D49" s="9"/>
      <c r="E49" s="9"/>
      <c r="H49" s="267" t="s">
        <v>85</v>
      </c>
      <c r="I49" s="43"/>
      <c r="J49" s="274"/>
      <c r="L49" s="267" t="s">
        <v>85</v>
      </c>
      <c r="M49" s="43"/>
      <c r="N49" s="274"/>
    </row>
    <row r="50" spans="1:14" x14ac:dyDescent="0.25">
      <c r="A50" s="47" t="s">
        <v>51</v>
      </c>
      <c r="B50" s="49"/>
      <c r="C50" s="49">
        <f>LOOKUP($C$5,'Updated Multi-Year Budget'!$C$8:$V$8,'Updated Multi-Year Budget'!C64:V64)</f>
        <v>3967.3160399999997</v>
      </c>
      <c r="D50" s="12"/>
      <c r="E50" s="9"/>
      <c r="H50" s="47" t="s">
        <v>51</v>
      </c>
      <c r="I50" s="48"/>
      <c r="J50" s="49">
        <f>'Updated Multi-Year Budget'!D64</f>
        <v>4746.2310667500005</v>
      </c>
      <c r="L50" s="47" t="s">
        <v>51</v>
      </c>
      <c r="M50" s="48"/>
      <c r="N50" s="49">
        <f>'Updated Multi-Year Budget'!E64</f>
        <v>6559.074816749999</v>
      </c>
    </row>
    <row r="51" spans="1:14" x14ac:dyDescent="0.25">
      <c r="A51" s="47" t="s">
        <v>52</v>
      </c>
      <c r="B51" s="53"/>
      <c r="C51" s="53">
        <f>LOOKUP($C$5,'Updated Multi-Year Budget'!$C$8:$V$8,'Updated Multi-Year Budget'!C65:V65)</f>
        <v>56610.912864</v>
      </c>
      <c r="D51" s="12"/>
      <c r="E51" s="9"/>
      <c r="H51" s="47" t="s">
        <v>52</v>
      </c>
      <c r="I51" s="52"/>
      <c r="J51" s="275">
        <f>'Updated Multi-Year Budget'!D65</f>
        <v>66656.84766300001</v>
      </c>
      <c r="L51" s="47" t="s">
        <v>52</v>
      </c>
      <c r="M51" s="52"/>
      <c r="N51" s="275">
        <f>'Updated Multi-Year Budget'!E65</f>
        <v>92116.72266300001</v>
      </c>
    </row>
    <row r="52" spans="1:14" x14ac:dyDescent="0.25">
      <c r="A52" s="97" t="s">
        <v>53</v>
      </c>
      <c r="B52" s="146"/>
      <c r="C52" s="146">
        <f>LOOKUP($C$5,'Updated Multi-Year Budget'!$C$8:$V$8,'Updated Multi-Year Budget'!C66:V66)</f>
        <v>8073.725232000001</v>
      </c>
      <c r="D52" s="12"/>
      <c r="E52" s="9"/>
      <c r="H52" s="97" t="s">
        <v>53</v>
      </c>
      <c r="I52" s="281"/>
      <c r="J52" s="276">
        <f>'Updated Multi-Year Budget'!D66</f>
        <v>11483.783054250001</v>
      </c>
      <c r="L52" s="97" t="s">
        <v>53</v>
      </c>
      <c r="M52" s="281"/>
      <c r="N52" s="276">
        <f>'Updated Multi-Year Budget'!E66</f>
        <v>15870.064304250001</v>
      </c>
    </row>
    <row r="53" spans="1:5" x14ac:dyDescent="0.25">
      <c r="A53" s="282"/>
      <c r="B53" s="282"/>
      <c r="C53" s="86"/>
      <c r="D53" s="12"/>
      <c r="E53" s="9"/>
    </row>
    <row r="54" spans="4:5" x14ac:dyDescent="0.25">
      <c r="D54" s="86"/>
      <c r="E54" s="86"/>
    </row>
  </sheetData>
  <mergeCells count="3">
    <mergeCell ref="A3:A5"/>
    <mergeCell ref="H3:H5"/>
    <mergeCell ref="L3:L5"/>
  </mergeCells>
  <pageMargins left="0.7" right="0.7" top="0.75" bottom="0.75" header="0.3" footer="0.3"/>
  <pageSetup orientation="portrait" horizontalDpi="1200" verticalDpi="12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6"/>
  <sheetViews>
    <sheetView workbookViewId="0" zoomScale="100" zoomScaleNormal="100">
      <selection activeCell="L20" sqref="L20"/>
    </sheetView>
  </sheetViews>
  <sheetFormatPr defaultRowHeight="14.5" outlineLevelRow="0" outlineLevelCol="0" x14ac:dyDescent="0.35" customHeight="1"/>
  <cols>
    <col min="2" max="2" width="13.1796875" customWidth="1"/>
  </cols>
  <sheetData>
    <row r="2" spans="2:5" x14ac:dyDescent="0.25">
      <c r="B2" t="s">
        <v>25</v>
      </c>
      <c r="C2">
        <v>2018</v>
      </c>
      <c r="D2" s="283">
        <v>2019</v>
      </c>
      <c r="E2">
        <v>2020</v>
      </c>
    </row>
    <row r="3" spans="2:9" x14ac:dyDescent="0.25">
      <c r="B3" s="11" t="s">
        <v>26</v>
      </c>
      <c r="C3" s="11">
        <v>2019</v>
      </c>
      <c r="D3" s="284">
        <v>2020</v>
      </c>
      <c r="E3" s="11">
        <v>2021</v>
      </c>
      <c r="F3" s="11"/>
      <c r="G3" s="11"/>
      <c r="H3" s="11"/>
      <c r="I3" s="11"/>
    </row>
    <row r="4" spans="2:5" x14ac:dyDescent="0.25">
      <c r="B4" t="s">
        <v>31</v>
      </c>
      <c r="C4">
        <v>85</v>
      </c>
      <c r="D4" s="283">
        <f>C4+D26</f>
        <v>951.6</v>
      </c>
      <c r="E4">
        <f>D4+E26</f>
        <v>966.78</v>
      </c>
    </row>
    <row r="5" spans="2:5" x14ac:dyDescent="0.25">
      <c r="B5" t="s">
        <v>33</v>
      </c>
      <c r="C5">
        <v>40</v>
      </c>
      <c r="D5" s="283">
        <f>D6-D4</f>
        <v>274.4</v>
      </c>
      <c r="E5">
        <f>E6-E4</f>
        <v>259.22</v>
      </c>
    </row>
    <row r="6" spans="2:5" x14ac:dyDescent="0.25">
      <c r="B6" t="s">
        <v>155</v>
      </c>
      <c r="C6">
        <v>125</v>
      </c>
      <c r="D6" s="283">
        <f>C6</f>
        <v>1226</v>
      </c>
      <c r="E6">
        <f>D6</f>
        <v>1226</v>
      </c>
    </row>
    <row r="7" spans="2:5" x14ac:dyDescent="0.25">
      <c r="B7" t="s">
        <v>156</v>
      </c>
      <c r="C7" s="155">
        <v>0.68</v>
      </c>
      <c r="D7" s="285">
        <f t="shared" ref="D7:E7" si="0">D4/D6</f>
        <v>0.7761827079934748</v>
      </c>
      <c r="E7" s="286">
        <f t="shared" si="0"/>
        <v>0.7885644371941272</v>
      </c>
    </row>
    <row r="8" spans="2:5" x14ac:dyDescent="0.25">
      <c r="B8" t="s">
        <v>157</v>
      </c>
      <c r="C8" s="155">
        <v>0.32</v>
      </c>
      <c r="D8" s="285">
        <f t="shared" ref="D8:E8" si="1">D5/D6</f>
        <v>0.22381729200652525</v>
      </c>
      <c r="E8" s="286">
        <f t="shared" si="1"/>
        <v>0.21143556280587278</v>
      </c>
    </row>
    <row r="9" spans="3:3" x14ac:dyDescent="0.25">
      <c r="C9">
        <v>60</v>
      </c>
    </row>
    <row r="10" spans="3:3" x14ac:dyDescent="0.25">
      <c r="C10">
        <v>150</v>
      </c>
    </row>
    <row r="14" spans="4:6" x14ac:dyDescent="0.25">
      <c r="D14" s="283">
        <v>2019</v>
      </c>
      <c r="E14">
        <v>2020</v>
      </c>
      <c r="F14">
        <f>E14+1</f>
        <v>2021</v>
      </c>
    </row>
    <row r="15" spans="2:10" x14ac:dyDescent="0.25">
      <c r="B15" s="11" t="s">
        <v>158</v>
      </c>
      <c r="C15" s="11"/>
      <c r="D15" s="284">
        <v>2020</v>
      </c>
      <c r="E15" s="11">
        <v>2021</v>
      </c>
      <c r="F15" s="11">
        <f>E15+1</f>
        <v>2022</v>
      </c>
      <c r="G15" s="11"/>
      <c r="H15" s="11"/>
      <c r="I15" s="11"/>
      <c r="J15" s="11"/>
    </row>
    <row r="16" spans="4:5" x14ac:dyDescent="0.25">
      <c r="D16" s="283">
        <v>5.5</v>
      </c>
      <c r="E16">
        <f>6.88+8.3</f>
        <v>15.18</v>
      </c>
    </row>
    <row r="17" spans="4:4" x14ac:dyDescent="0.25">
      <c r="D17" s="283">
        <v>72.1</v>
      </c>
    </row>
    <row r="18" spans="4:4" x14ac:dyDescent="0.25">
      <c r="D18" s="283"/>
    </row>
    <row r="19" spans="4:4" x14ac:dyDescent="0.25">
      <c r="D19" s="283"/>
    </row>
    <row r="20" spans="4:4" x14ac:dyDescent="0.25">
      <c r="D20" s="283"/>
    </row>
    <row r="21" spans="4:4" x14ac:dyDescent="0.25">
      <c r="D21" s="283"/>
    </row>
    <row r="22" spans="4:4" x14ac:dyDescent="0.25">
      <c r="D22" s="283"/>
    </row>
    <row r="23" spans="4:4" x14ac:dyDescent="0.25">
      <c r="D23" s="283"/>
    </row>
    <row r="24" spans="4:4" x14ac:dyDescent="0.25">
      <c r="D24" s="283"/>
    </row>
    <row r="25" spans="2:10" x14ac:dyDescent="0.25">
      <c r="B25" s="11"/>
      <c r="C25" s="11"/>
      <c r="D25" s="284"/>
      <c r="E25" s="11"/>
      <c r="F25" s="11"/>
      <c r="G25" s="11"/>
      <c r="H25" s="11"/>
      <c r="I25" s="11"/>
      <c r="J25" s="11"/>
    </row>
    <row r="26" spans="2:10" x14ac:dyDescent="0.25">
      <c r="B26" t="s">
        <v>159</v>
      </c>
      <c r="D26" s="283">
        <f>SUM(D16:D25)</f>
        <v>77.6</v>
      </c>
      <c r="E26">
        <f t="shared" ref="E26:J26" si="2">SUM(E16:E25)</f>
        <v>15.18</v>
      </c>
      <c r="F26">
        <f t="shared" si="2"/>
        <v>0</v>
      </c>
      <c r="G26">
        <f t="shared" si="2"/>
        <v>0</v>
      </c>
      <c r="H26">
        <f t="shared" si="2"/>
        <v>0</v>
      </c>
      <c r="I26">
        <f t="shared" si="2"/>
        <v>0</v>
      </c>
      <c r="J26">
        <f t="shared" si="2"/>
        <v>0</v>
      </c>
    </row>
  </sheetData>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H37"/>
  <sheetViews>
    <sheetView workbookViewId="0" showGridLines="0" zoomScale="100" zoomScaleNormal="100">
      <selection activeCell="H21" sqref="H21"/>
    </sheetView>
  </sheetViews>
  <sheetFormatPr defaultRowHeight="14.5" outlineLevelRow="0" outlineLevelCol="0" x14ac:dyDescent="0.35" customHeight="1"/>
  <cols>
    <col min="3" max="3" width="62.26953125" customWidth="1"/>
    <col min="4" max="4" hidden="1" customWidth="1"/>
    <col min="5" max="5" width="17" customWidth="1"/>
    <col min="6" max="6" width="16.81640625" customWidth="1"/>
    <col min="7" max="8" width="15.7265625" customWidth="1"/>
  </cols>
  <sheetData>
    <row r="6" ht="15.5" customHeight="1" spans="3:8" x14ac:dyDescent="0.25">
      <c r="C6" s="229" t="s">
        <v>122</v>
      </c>
      <c r="D6" s="230"/>
      <c r="E6" s="229" t="s">
        <v>123</v>
      </c>
      <c r="F6" s="229" t="s">
        <v>124</v>
      </c>
      <c r="G6" s="229" t="s">
        <v>125</v>
      </c>
      <c r="H6" s="229" t="s">
        <v>126</v>
      </c>
    </row>
    <row r="7" ht="15.5" customHeight="1" spans="3:8" x14ac:dyDescent="0.25">
      <c r="C7" s="229"/>
      <c r="D7" s="230"/>
      <c r="E7" s="229"/>
      <c r="F7" s="229"/>
      <c r="G7" s="229"/>
      <c r="H7" s="229"/>
    </row>
    <row r="8" ht="18" customHeight="1" spans="3:8" x14ac:dyDescent="0.25">
      <c r="C8" s="231" t="s">
        <v>127</v>
      </c>
      <c r="D8" s="232"/>
      <c r="E8" s="233"/>
      <c r="F8" s="233"/>
      <c r="G8" s="233"/>
      <c r="H8" s="233"/>
    </row>
    <row r="9" ht="16.5" customHeight="1" spans="3:8" x14ac:dyDescent="0.25">
      <c r="C9" s="234" t="s">
        <v>128</v>
      </c>
      <c r="D9" s="235"/>
      <c r="E9" s="236">
        <f>'Updated Multi-Year Budget'!C23</f>
        <v>12644832</v>
      </c>
      <c r="F9" s="236" t="s">
        <v>129</v>
      </c>
      <c r="G9" s="237" t="s">
        <v>129</v>
      </c>
      <c r="H9" s="237" t="s">
        <v>129</v>
      </c>
    </row>
    <row r="10" ht="16.5" customHeight="1" spans="3:8" x14ac:dyDescent="0.25">
      <c r="C10" s="234" t="s">
        <v>130</v>
      </c>
      <c r="D10" s="235"/>
      <c r="E10" s="236">
        <f>E9</f>
        <v>12644832</v>
      </c>
      <c r="F10" s="236" t="str">
        <f>F9</f>
        <v>N/A</v>
      </c>
      <c r="G10" s="238" t="str">
        <f>G9</f>
        <v>N/A</v>
      </c>
      <c r="H10" s="237" t="str">
        <f>H9</f>
        <v>N/A</v>
      </c>
    </row>
    <row r="11" ht="16.5" customHeight="1" spans="3:8" x14ac:dyDescent="0.25">
      <c r="C11" s="231"/>
      <c r="D11" s="239"/>
      <c r="E11" s="240"/>
      <c r="F11" s="240"/>
      <c r="G11" s="240"/>
      <c r="H11" s="240"/>
    </row>
    <row r="12" ht="16.5" customHeight="1" spans="3:8" x14ac:dyDescent="0.25">
      <c r="C12" s="234"/>
      <c r="D12" s="235"/>
      <c r="E12" s="236"/>
      <c r="F12" s="236"/>
      <c r="G12" s="237"/>
      <c r="H12" s="237"/>
    </row>
    <row r="13" ht="16.5" customHeight="1" spans="3:8" x14ac:dyDescent="0.25">
      <c r="C13" s="234"/>
      <c r="D13" s="235"/>
      <c r="E13" s="236"/>
      <c r="F13" s="236"/>
      <c r="G13" s="237"/>
      <c r="H13" s="237"/>
    </row>
    <row r="14" ht="15.5" customHeight="1" spans="3:8" x14ac:dyDescent="0.25">
      <c r="C14" s="241"/>
      <c r="D14" s="241"/>
      <c r="E14" s="241"/>
      <c r="F14" s="241"/>
      <c r="G14" s="241"/>
      <c r="H14" s="241"/>
    </row>
    <row r="15" ht="15.5" customHeight="1" spans="3:8" x14ac:dyDescent="0.25">
      <c r="C15" s="241"/>
      <c r="D15" s="241"/>
      <c r="E15" s="241"/>
      <c r="F15" s="241"/>
      <c r="G15" s="241"/>
      <c r="H15" s="241"/>
    </row>
    <row r="16" ht="15.5" customHeight="1" spans="3:8" x14ac:dyDescent="0.25">
      <c r="C16" s="241"/>
      <c r="D16" s="241"/>
      <c r="E16" s="241"/>
      <c r="F16" s="241"/>
      <c r="G16" s="241"/>
      <c r="H16" s="241"/>
    </row>
    <row r="17" ht="15.5" customHeight="1" spans="3:8" x14ac:dyDescent="0.25">
      <c r="C17" s="242" t="s">
        <v>131</v>
      </c>
      <c r="D17" s="243"/>
      <c r="E17" s="242" t="s">
        <v>132</v>
      </c>
      <c r="F17" s="242" t="s">
        <v>133</v>
      </c>
      <c r="G17" s="242" t="s">
        <v>134</v>
      </c>
      <c r="H17" s="244" t="s">
        <v>135</v>
      </c>
    </row>
    <row r="18" ht="15.5" customHeight="1" spans="3:8" x14ac:dyDescent="0.25">
      <c r="C18" s="242"/>
      <c r="D18" s="243"/>
      <c r="E18" s="242"/>
      <c r="F18" s="242"/>
      <c r="G18" s="242"/>
      <c r="H18" s="245" t="s">
        <v>136</v>
      </c>
    </row>
    <row r="19" ht="15.5" customHeight="1" spans="3:8" x14ac:dyDescent="0.25">
      <c r="C19" s="242"/>
      <c r="D19" s="243"/>
      <c r="E19" s="242"/>
      <c r="F19" s="242"/>
      <c r="G19" s="242"/>
      <c r="H19" s="246" t="s">
        <v>137</v>
      </c>
    </row>
    <row r="20" ht="18.5" customHeight="1" spans="3:8" x14ac:dyDescent="0.25">
      <c r="C20" s="231" t="s">
        <v>138</v>
      </c>
      <c r="D20" s="232"/>
      <c r="E20" s="233"/>
      <c r="F20" s="233"/>
      <c r="G20" s="233"/>
      <c r="H20" s="247"/>
    </row>
    <row r="21" ht="17" customHeight="1" spans="3:8" x14ac:dyDescent="0.25">
      <c r="C21" s="234" t="s">
        <v>139</v>
      </c>
      <c r="D21" s="235"/>
      <c r="E21" s="236">
        <v>15691.615999999998</v>
      </c>
      <c r="F21" s="236" t="e">
        <f>#REF!</f>
        <v>#REF!</v>
      </c>
      <c r="G21" s="236" t="e">
        <f>($C$14*-1)*#REF!</f>
        <v>#REF!</v>
      </c>
      <c r="H21" s="248" t="e">
        <f>(F21-G21)/G21</f>
        <v>#REF!</v>
      </c>
    </row>
    <row r="22" ht="17" customHeight="1" spans="3:8" x14ac:dyDescent="0.25">
      <c r="C22" s="234" t="s">
        <v>140</v>
      </c>
      <c r="D22" s="235"/>
      <c r="E22" s="236" t="e">
        <f>#REF!</f>
        <v>#REF!</v>
      </c>
      <c r="F22" s="236" t="e">
        <f>SUM(#REF!)</f>
        <v>#REF!</v>
      </c>
      <c r="G22" s="236" t="e">
        <f>#REF!</f>
        <v>#REF!</v>
      </c>
      <c r="H22" s="248" t="e">
        <f>(F22-G22)/G22</f>
        <v>#REF!</v>
      </c>
    </row>
    <row r="23" ht="18.5" customHeight="1" spans="3:8" x14ac:dyDescent="0.25">
      <c r="C23" s="231" t="s">
        <v>141</v>
      </c>
      <c r="D23" s="232"/>
      <c r="E23" s="249"/>
      <c r="F23" s="249"/>
      <c r="G23" s="249"/>
      <c r="H23" s="250"/>
    </row>
    <row r="24" ht="17" customHeight="1" spans="3:8" x14ac:dyDescent="0.25">
      <c r="C24" s="234" t="s">
        <v>139</v>
      </c>
      <c r="D24" s="235"/>
      <c r="E24" s="251">
        <f t="shared" ref="E24:G25" si="0">E21</f>
        <v>15691.615999999998</v>
      </c>
      <c r="F24" s="236" t="e">
        <f t="shared" si="0"/>
        <v>#REF!</v>
      </c>
      <c r="G24" s="236" t="e">
        <f t="shared" si="0"/>
        <v>#REF!</v>
      </c>
      <c r="H24" s="248" t="e">
        <f>(F24-G24)/G24</f>
        <v>#REF!</v>
      </c>
    </row>
    <row r="25" ht="17" customHeight="1" spans="3:8" x14ac:dyDescent="0.25">
      <c r="C25" s="235" t="s">
        <v>140</v>
      </c>
      <c r="D25" s="235"/>
      <c r="E25" s="251" t="e">
        <f t="shared" si="0"/>
        <v>#REF!</v>
      </c>
      <c r="F25" s="236" t="e">
        <f t="shared" si="0"/>
        <v>#REF!</v>
      </c>
      <c r="G25" s="236" t="e">
        <f t="shared" si="0"/>
        <v>#REF!</v>
      </c>
      <c r="H25" s="248" t="e">
        <f>(F25-G25)/G25</f>
        <v>#REF!</v>
      </c>
    </row>
    <row r="26" ht="15.5" customHeight="1" spans="3:8" x14ac:dyDescent="0.25">
      <c r="C26" s="241"/>
      <c r="D26" s="241"/>
      <c r="E26" s="241"/>
      <c r="F26" s="241"/>
      <c r="G26" s="241"/>
      <c r="H26" s="241"/>
    </row>
    <row r="27" ht="15.5" customHeight="1" spans="3:8" x14ac:dyDescent="0.25">
      <c r="C27" s="241"/>
      <c r="D27" s="241"/>
      <c r="E27" s="241"/>
      <c r="F27" s="241"/>
      <c r="G27" s="241"/>
      <c r="H27" s="241"/>
    </row>
    <row r="28" ht="15.5" customHeight="1" spans="3:8" x14ac:dyDescent="0.25">
      <c r="C28" s="241"/>
      <c r="D28" s="241"/>
      <c r="E28" s="241"/>
      <c r="F28" s="241"/>
      <c r="G28" s="241"/>
      <c r="H28" s="241"/>
    </row>
    <row r="29" ht="18" customHeight="1" spans="3:8" x14ac:dyDescent="0.25">
      <c r="C29" s="229" t="s">
        <v>109</v>
      </c>
      <c r="D29" s="229" t="s">
        <v>142</v>
      </c>
      <c r="E29" s="229"/>
      <c r="F29" s="241"/>
      <c r="G29" s="241"/>
      <c r="H29" s="241"/>
    </row>
    <row r="30" ht="15.5" customHeight="1" spans="3:8" x14ac:dyDescent="0.25">
      <c r="C30" s="249" t="s">
        <v>29</v>
      </c>
      <c r="D30" s="252" t="s">
        <v>27</v>
      </c>
      <c r="E30" s="252" t="s">
        <v>143</v>
      </c>
      <c r="F30" s="241"/>
      <c r="G30" s="241"/>
      <c r="H30" s="241"/>
    </row>
    <row r="31" ht="15.5" customHeight="1" spans="3:8" x14ac:dyDescent="0.25">
      <c r="C31" s="253" t="s">
        <v>111</v>
      </c>
      <c r="D31" s="254" t="e">
        <f>SUM(#REF!)</f>
        <v>#REF!</v>
      </c>
      <c r="E31" s="255">
        <f>SUM('Updated Multi-Year Budget'!C51:V51)</f>
        <v>6032271.4471740015</v>
      </c>
      <c r="F31" s="241"/>
      <c r="G31" s="241"/>
      <c r="H31" s="241"/>
    </row>
    <row r="32" ht="15.5" customHeight="1" spans="3:8" x14ac:dyDescent="0.25">
      <c r="C32" s="256" t="s">
        <v>144</v>
      </c>
      <c r="D32" s="257" t="e">
        <f>SUM(D31)</f>
        <v>#REF!</v>
      </c>
      <c r="E32" s="257">
        <f>SUM(E31)</f>
        <v>6032271.4471740015</v>
      </c>
      <c r="F32" s="241"/>
      <c r="G32" s="241"/>
      <c r="H32" s="241"/>
    </row>
    <row r="33" ht="15.5" customHeight="1" spans="3:8" x14ac:dyDescent="0.25">
      <c r="C33" s="249" t="s">
        <v>67</v>
      </c>
      <c r="D33" s="252" t="s">
        <v>27</v>
      </c>
      <c r="E33" s="252" t="s">
        <v>143</v>
      </c>
      <c r="F33" s="241"/>
      <c r="G33" s="241"/>
      <c r="H33" s="241"/>
    </row>
    <row r="34" ht="15.5" customHeight="1" spans="3:8" x14ac:dyDescent="0.25">
      <c r="C34" s="253" t="s">
        <v>76</v>
      </c>
      <c r="D34" s="258" t="e">
        <f>SUM(#REF!)</f>
        <v>#REF!</v>
      </c>
      <c r="E34" s="255">
        <f>SUM('Updated Multi-Year Budget'!C57:V57)</f>
        <v>189113.57235869992</v>
      </c>
      <c r="F34" s="241"/>
      <c r="G34" s="241"/>
      <c r="H34" s="241"/>
    </row>
    <row r="35" ht="15.5" customHeight="1" spans="3:8" x14ac:dyDescent="0.25">
      <c r="C35" s="253" t="s">
        <v>79</v>
      </c>
      <c r="D35" s="258" t="e">
        <f>SUM(#REF!)-1</f>
        <v>#REF!</v>
      </c>
      <c r="E35" s="258">
        <f>SUM('Updated Multi-Year Budget'!C59:V59)</f>
        <v>2250000</v>
      </c>
      <c r="F35" s="241"/>
      <c r="G35" s="241"/>
      <c r="H35" s="241"/>
    </row>
    <row r="36" ht="15.5" customHeight="1" spans="3:8" x14ac:dyDescent="0.25">
      <c r="C36" s="253" t="s">
        <v>145</v>
      </c>
      <c r="D36" s="258"/>
      <c r="E36" s="258">
        <f>SUM('Updated Multi-Year Budget'!C60:V60)</f>
        <v>3593157.8748152996</v>
      </c>
      <c r="F36" s="241"/>
      <c r="G36" s="241"/>
      <c r="H36" s="241"/>
    </row>
    <row r="37" ht="15.5" customHeight="1" spans="3:8" x14ac:dyDescent="0.25">
      <c r="C37" s="256" t="s">
        <v>83</v>
      </c>
      <c r="D37" s="257" t="e">
        <f>SUM(D34:D35)</f>
        <v>#REF!</v>
      </c>
      <c r="E37" s="259">
        <f>SUM(E34:E36)</f>
        <v>6032271.447174</v>
      </c>
      <c r="F37" s="241"/>
      <c r="G37" s="241"/>
      <c r="H37" s="241"/>
    </row>
  </sheetData>
  <mergeCells count="10">
    <mergeCell ref="C6:C7"/>
    <mergeCell ref="E6:E7"/>
    <mergeCell ref="F6:F7"/>
    <mergeCell ref="G6:G7"/>
    <mergeCell ref="H6:H7"/>
    <mergeCell ref="C17:C19"/>
    <mergeCell ref="E17:E19"/>
    <mergeCell ref="F17:F19"/>
    <mergeCell ref="G17:G19"/>
    <mergeCell ref="D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Updated Multi-Year Budget</vt:lpstr>
      <vt:lpstr>Sheet1</vt:lpstr>
      <vt:lpstr>Annual Budget</vt:lpstr>
      <vt:lpstr>Acreage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Hill</dc:creator>
  <cp:lastModifiedBy>Ryan Barker</cp:lastModifiedBy>
  <dcterms:created xsi:type="dcterms:W3CDTF">2019-10-30T21:12:06Z</dcterms:created>
  <dcterms:modified xsi:type="dcterms:W3CDTF">2025-12-31T00:45:43Z</dcterms:modified>
</cp:coreProperties>
</file>