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jbth\OneDrive\Documents\Cursor Builds\LRB Compliance Software\Learning Data\"/>
    </mc:Choice>
  </mc:AlternateContent>
  <xr:revisionPtr revIDLastSave="0" documentId="8_{160A1F5C-31D7-4952-B9F8-CA92B867A30C}" xr6:coauthVersionLast="47" xr6:coauthVersionMax="47" xr10:uidLastSave="{00000000-0000-0000-0000-000000000000}"/>
  <bookViews>
    <workbookView xWindow="7900" yWindow="2260" windowWidth="28800" windowHeight="15370" xr2:uid="{E2FE9798-9A2A-4AF7-873F-F15B6C204F85}"/>
  </bookViews>
  <sheets>
    <sheet name="Updated Multi-Year Budget" sheetId="1" r:id="rId1"/>
    <sheet name="Sheet1" sheetId="4" r:id="rId2"/>
    <sheet name="Annual Budget" sheetId="2" r:id="rId3"/>
    <sheet name="Acreage" sheetId="3" r:id="rId4"/>
  </sheets>
  <externalReferences>
    <externalReference r:id="rId5"/>
  </externalReferences>
  <definedNames>
    <definedName name="Years">'[1]Value Summary'!$A$3:$A$17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1" i="2" l="1"/>
  <c r="N51" i="2"/>
  <c r="N52" i="2"/>
  <c r="N50" i="2"/>
  <c r="N47" i="2"/>
  <c r="N44" i="2"/>
  <c r="N45" i="2"/>
  <c r="N46" i="2"/>
  <c r="N43" i="2"/>
  <c r="N33" i="2"/>
  <c r="N32" i="2"/>
  <c r="N31" i="2"/>
  <c r="N39" i="2"/>
  <c r="N34" i="2"/>
  <c r="N37" i="2"/>
  <c r="N35" i="2"/>
  <c r="N24" i="2"/>
  <c r="N22" i="2"/>
  <c r="N23" i="2"/>
  <c r="N21" i="2"/>
  <c r="N12" i="2"/>
  <c r="N14" i="2" s="1"/>
  <c r="N11" i="2"/>
  <c r="N9" i="2"/>
  <c r="J52" i="2"/>
  <c r="J50" i="2"/>
  <c r="J47" i="2"/>
  <c r="J44" i="2"/>
  <c r="J45" i="2"/>
  <c r="J46" i="2"/>
  <c r="J43" i="2"/>
  <c r="J39" i="2"/>
  <c r="J38" i="2"/>
  <c r="J37" i="2"/>
  <c r="J34" i="2"/>
  <c r="J32" i="2"/>
  <c r="J33" i="2"/>
  <c r="J31" i="2"/>
  <c r="J22" i="2"/>
  <c r="C22" i="2"/>
  <c r="C23" i="2"/>
  <c r="C32" i="2"/>
  <c r="C33" i="2"/>
  <c r="J24" i="2"/>
  <c r="J23" i="2"/>
  <c r="J21" i="2"/>
  <c r="J12" i="2"/>
  <c r="J14" i="2" s="1"/>
  <c r="J11" i="2"/>
  <c r="J9" i="2"/>
  <c r="C34" i="2"/>
  <c r="C31" i="2"/>
  <c r="C21" i="2"/>
  <c r="C11" i="2"/>
  <c r="C9" i="2"/>
  <c r="C6" i="2"/>
  <c r="N38" i="2"/>
  <c r="N36" i="2"/>
  <c r="N28" i="2"/>
  <c r="N27" i="2"/>
  <c r="N26" i="2"/>
  <c r="L33" i="2"/>
  <c r="L32" i="2"/>
  <c r="N18" i="2"/>
  <c r="N17" i="2"/>
  <c r="N16" i="2"/>
  <c r="L31" i="2"/>
  <c r="N13" i="2"/>
  <c r="N10" i="2"/>
  <c r="L2" i="2"/>
  <c r="J36" i="2"/>
  <c r="J35" i="2"/>
  <c r="J28" i="2"/>
  <c r="J27" i="2"/>
  <c r="J26" i="2"/>
  <c r="H33" i="2"/>
  <c r="H32" i="2"/>
  <c r="J18" i="2"/>
  <c r="J17" i="2"/>
  <c r="J16" i="2"/>
  <c r="H31" i="2"/>
  <c r="J13" i="2"/>
  <c r="J10" i="2"/>
  <c r="H2" i="2"/>
  <c r="E36" i="4"/>
  <c r="E35" i="4"/>
  <c r="E34" i="4"/>
  <c r="E31" i="4"/>
  <c r="C51" i="1"/>
  <c r="C61" i="1"/>
  <c r="E32" i="4"/>
  <c r="H10" i="4"/>
  <c r="G10" i="4"/>
  <c r="F10" i="4"/>
  <c r="E9" i="4"/>
  <c r="D35" i="4"/>
  <c r="D34" i="4"/>
  <c r="D37" i="4" s="1"/>
  <c r="D31" i="4"/>
  <c r="D32" i="4" s="1"/>
  <c r="E24" i="4"/>
  <c r="G22" i="4"/>
  <c r="G25" i="4" s="1"/>
  <c r="F22" i="4"/>
  <c r="F25" i="4" s="1"/>
  <c r="H25" i="4" s="1"/>
  <c r="E22" i="4"/>
  <c r="E25" i="4" s="1"/>
  <c r="G21" i="4"/>
  <c r="G24" i="4" s="1"/>
  <c r="F21" i="4"/>
  <c r="F24" i="4" s="1"/>
  <c r="H24" i="4" s="1"/>
  <c r="E10" i="4"/>
  <c r="J19" i="2" l="1"/>
  <c r="N19" i="2"/>
  <c r="E37" i="4"/>
  <c r="H21" i="4"/>
  <c r="H22" i="4"/>
  <c r="G118" i="1" l="1"/>
  <c r="D23" i="1" l="1"/>
  <c r="C43" i="1"/>
  <c r="L60" i="1"/>
  <c r="I60" i="1"/>
  <c r="H60" i="1"/>
  <c r="H57" i="1"/>
  <c r="D57" i="1"/>
  <c r="C57" i="1"/>
  <c r="C60" i="1"/>
  <c r="C45" i="2"/>
  <c r="C38" i="2"/>
  <c r="C36" i="2"/>
  <c r="C35" i="2"/>
  <c r="C18" i="2"/>
  <c r="C17" i="2"/>
  <c r="C16" i="2"/>
  <c r="C13" i="2"/>
  <c r="C10" i="2"/>
  <c r="C4" i="2"/>
  <c r="A2" i="2"/>
  <c r="F14" i="1"/>
  <c r="G14" i="1" s="1"/>
  <c r="H14" i="1" s="1"/>
  <c r="I14" i="1" s="1"/>
  <c r="J14" i="1" s="1"/>
  <c r="K14" i="1" s="1"/>
  <c r="L14" i="1" s="1"/>
  <c r="M14" i="1" s="1"/>
  <c r="N14" i="1" s="1"/>
  <c r="O14" i="1" s="1"/>
  <c r="P14" i="1" s="1"/>
  <c r="Q14" i="1" s="1"/>
  <c r="R14" i="1" s="1"/>
  <c r="S14" i="1" s="1"/>
  <c r="T14" i="1" s="1"/>
  <c r="U14" i="1" s="1"/>
  <c r="V14" i="1" s="1"/>
  <c r="E14" i="1"/>
  <c r="D14" i="1"/>
  <c r="V70" i="1"/>
  <c r="U70" i="1"/>
  <c r="T70" i="1"/>
  <c r="S70" i="1"/>
  <c r="R70" i="1"/>
  <c r="Q70" i="1"/>
  <c r="P70" i="1"/>
  <c r="O70" i="1"/>
  <c r="N70" i="1"/>
  <c r="M70" i="1"/>
  <c r="L70" i="1"/>
  <c r="K70" i="1"/>
  <c r="J70" i="1"/>
  <c r="I70" i="1"/>
  <c r="H70" i="1"/>
  <c r="G70" i="1"/>
  <c r="F70" i="1"/>
  <c r="E70" i="1"/>
  <c r="D70" i="1"/>
  <c r="W50" i="1"/>
  <c r="W59" i="1"/>
  <c r="C28" i="2"/>
  <c r="C27" i="2"/>
  <c r="C26" i="2"/>
  <c r="O29" i="1"/>
  <c r="J29" i="1"/>
  <c r="D29" i="1"/>
  <c r="W47" i="1"/>
  <c r="D48" i="1"/>
  <c r="D16" i="1"/>
  <c r="E16" i="1" s="1"/>
  <c r="F16" i="1" s="1"/>
  <c r="G16" i="1" s="1"/>
  <c r="H16" i="1" s="1"/>
  <c r="I16" i="1" s="1"/>
  <c r="J16" i="1" s="1"/>
  <c r="K16" i="1" s="1"/>
  <c r="L16" i="1" s="1"/>
  <c r="M16" i="1" s="1"/>
  <c r="N16" i="1" s="1"/>
  <c r="O16" i="1" s="1"/>
  <c r="P16" i="1" s="1"/>
  <c r="Q16" i="1" s="1"/>
  <c r="R16" i="1" s="1"/>
  <c r="S16" i="1" s="1"/>
  <c r="T16" i="1" s="1"/>
  <c r="U16" i="1" s="1"/>
  <c r="V16" i="1" s="1"/>
  <c r="D15" i="1"/>
  <c r="E15" i="1" s="1"/>
  <c r="F15" i="1" s="1"/>
  <c r="G15" i="1" s="1"/>
  <c r="H15" i="1" s="1"/>
  <c r="I15" i="1" s="1"/>
  <c r="J15" i="1" s="1"/>
  <c r="K15" i="1" s="1"/>
  <c r="L15" i="1" s="1"/>
  <c r="M15" i="1" s="1"/>
  <c r="N15" i="1" s="1"/>
  <c r="O15" i="1" s="1"/>
  <c r="P15" i="1" s="1"/>
  <c r="Q15" i="1" s="1"/>
  <c r="R15" i="1" s="1"/>
  <c r="S15" i="1" s="1"/>
  <c r="T15" i="1" s="1"/>
  <c r="U15" i="1" s="1"/>
  <c r="V15" i="1" s="1"/>
  <c r="E28" i="1"/>
  <c r="F28" i="1" s="1"/>
  <c r="G28" i="1" s="1"/>
  <c r="H28" i="1" s="1"/>
  <c r="I28" i="1" s="1"/>
  <c r="J28" i="1" s="1"/>
  <c r="K28" i="1" s="1"/>
  <c r="L28" i="1" s="1"/>
  <c r="M28" i="1" s="1"/>
  <c r="N28" i="1" s="1"/>
  <c r="O28" i="1" s="1"/>
  <c r="P28" i="1" s="1"/>
  <c r="Q28" i="1" s="1"/>
  <c r="R28" i="1" s="1"/>
  <c r="S28" i="1" s="1"/>
  <c r="T28" i="1" s="1"/>
  <c r="U28" i="1" s="1"/>
  <c r="V28" i="1" s="1"/>
  <c r="E27" i="1"/>
  <c r="F27" i="1" s="1"/>
  <c r="G27" i="1" s="1"/>
  <c r="H27" i="1" s="1"/>
  <c r="I27" i="1" s="1"/>
  <c r="J27" i="1" s="1"/>
  <c r="K27" i="1" s="1"/>
  <c r="L27" i="1" s="1"/>
  <c r="M27" i="1" s="1"/>
  <c r="N27" i="1" s="1"/>
  <c r="O27" i="1" s="1"/>
  <c r="P27" i="1" s="1"/>
  <c r="Q27" i="1" s="1"/>
  <c r="R27" i="1" s="1"/>
  <c r="S27" i="1" s="1"/>
  <c r="T27" i="1" s="1"/>
  <c r="U27" i="1" s="1"/>
  <c r="V27" i="1" s="1"/>
  <c r="E26" i="1"/>
  <c r="F26" i="1" s="1"/>
  <c r="G26" i="1" s="1"/>
  <c r="H26" i="1" s="1"/>
  <c r="I26" i="1" s="1"/>
  <c r="J26" i="1" s="1"/>
  <c r="K26" i="1" s="1"/>
  <c r="L26" i="1" s="1"/>
  <c r="M26" i="1" s="1"/>
  <c r="N26" i="1" s="1"/>
  <c r="O26" i="1" s="1"/>
  <c r="P26" i="1" s="1"/>
  <c r="Q26" i="1" s="1"/>
  <c r="R26" i="1" s="1"/>
  <c r="S26" i="1" s="1"/>
  <c r="T26" i="1" s="1"/>
  <c r="U26" i="1" s="1"/>
  <c r="V26" i="1" s="1"/>
  <c r="B29" i="1"/>
  <c r="D40" i="1"/>
  <c r="E40" i="1" s="1"/>
  <c r="F40" i="1" s="1"/>
  <c r="G40" i="1" s="1"/>
  <c r="H40" i="1" s="1"/>
  <c r="I40" i="1" s="1"/>
  <c r="J40" i="1" s="1"/>
  <c r="K40" i="1" s="1"/>
  <c r="L40" i="1" s="1"/>
  <c r="M40" i="1" s="1"/>
  <c r="N40" i="1" s="1"/>
  <c r="O40" i="1" s="1"/>
  <c r="P40" i="1" s="1"/>
  <c r="Q40" i="1" s="1"/>
  <c r="R40" i="1" s="1"/>
  <c r="S40" i="1" s="1"/>
  <c r="T40" i="1" s="1"/>
  <c r="U40" i="1" s="1"/>
  <c r="V40" i="1" s="1"/>
  <c r="D39" i="1"/>
  <c r="E39" i="1" s="1"/>
  <c r="F39" i="1" s="1"/>
  <c r="G39" i="1" s="1"/>
  <c r="H39" i="1" s="1"/>
  <c r="I39" i="1" s="1"/>
  <c r="J39" i="1" s="1"/>
  <c r="K39" i="1" s="1"/>
  <c r="L39" i="1" s="1"/>
  <c r="M39" i="1" s="1"/>
  <c r="N39" i="1" s="1"/>
  <c r="O39" i="1" s="1"/>
  <c r="P39" i="1" s="1"/>
  <c r="Q39" i="1" s="1"/>
  <c r="R39" i="1" s="1"/>
  <c r="S39" i="1" s="1"/>
  <c r="T39" i="1" s="1"/>
  <c r="U39" i="1" s="1"/>
  <c r="V39" i="1" s="1"/>
  <c r="D38" i="1"/>
  <c r="E38" i="1" s="1"/>
  <c r="F38" i="1" s="1"/>
  <c r="G38" i="1" s="1"/>
  <c r="H38" i="1" s="1"/>
  <c r="I38" i="1" s="1"/>
  <c r="J38" i="1" s="1"/>
  <c r="K38" i="1" s="1"/>
  <c r="L38" i="1" s="1"/>
  <c r="M38" i="1" s="1"/>
  <c r="N38" i="1" s="1"/>
  <c r="O38" i="1" s="1"/>
  <c r="P38" i="1" s="1"/>
  <c r="Q38" i="1" s="1"/>
  <c r="R38" i="1" s="1"/>
  <c r="S38" i="1" s="1"/>
  <c r="T38" i="1" s="1"/>
  <c r="U38" i="1" s="1"/>
  <c r="V38" i="1" s="1"/>
  <c r="E16" i="3"/>
  <c r="Z48" i="1"/>
  <c r="Y48" i="1"/>
  <c r="W36" i="1"/>
  <c r="W52" i="1"/>
  <c r="N29" i="1" l="1"/>
  <c r="F29" i="1"/>
  <c r="Q29" i="1"/>
  <c r="G29" i="1"/>
  <c r="R29" i="1"/>
  <c r="P29" i="1"/>
  <c r="H29" i="1"/>
  <c r="I29" i="1"/>
  <c r="W48" i="1"/>
  <c r="E17" i="1"/>
  <c r="E48" i="1"/>
  <c r="F48" i="1" s="1"/>
  <c r="G48" i="1" s="1"/>
  <c r="H48" i="1" s="1"/>
  <c r="I48" i="1" s="1"/>
  <c r="J48" i="1" s="1"/>
  <c r="K48" i="1" s="1"/>
  <c r="L48" i="1" s="1"/>
  <c r="M48" i="1" s="1"/>
  <c r="N48" i="1" s="1"/>
  <c r="O48" i="1" s="1"/>
  <c r="P48" i="1" s="1"/>
  <c r="Q48" i="1" s="1"/>
  <c r="R48" i="1" s="1"/>
  <c r="S48" i="1" s="1"/>
  <c r="T48" i="1" s="1"/>
  <c r="U48" i="1" s="1"/>
  <c r="V48" i="1" s="1"/>
  <c r="K29" i="1"/>
  <c r="L29" i="1"/>
  <c r="E29" i="1"/>
  <c r="M29" i="1"/>
  <c r="D33" i="1"/>
  <c r="D44" i="1" s="1"/>
  <c r="D65" i="1" s="1"/>
  <c r="D17" i="1"/>
  <c r="D32" i="1"/>
  <c r="E33" i="1"/>
  <c r="E34" i="1"/>
  <c r="E32" i="1"/>
  <c r="D34" i="1"/>
  <c r="D8" i="3"/>
  <c r="C8" i="3"/>
  <c r="D7" i="3"/>
  <c r="C7" i="3"/>
  <c r="E6" i="3"/>
  <c r="C5" i="3"/>
  <c r="F15" i="3"/>
  <c r="F14" i="3"/>
  <c r="E26" i="3"/>
  <c r="E4" i="3" s="1"/>
  <c r="F26" i="3"/>
  <c r="G26" i="3"/>
  <c r="H26" i="3"/>
  <c r="I26" i="3"/>
  <c r="J26" i="3"/>
  <c r="D26" i="3"/>
  <c r="D4" i="3" s="1"/>
  <c r="D6" i="3"/>
  <c r="C12" i="2" l="1"/>
  <c r="E23" i="1"/>
  <c r="E43" i="1"/>
  <c r="E44" i="1"/>
  <c r="E45" i="1"/>
  <c r="F17" i="1"/>
  <c r="F23" i="1" s="1"/>
  <c r="F33" i="1"/>
  <c r="F32" i="1"/>
  <c r="F43" i="1" s="1"/>
  <c r="F34" i="1"/>
  <c r="D43" i="1"/>
  <c r="D64" i="1" s="1"/>
  <c r="E35" i="1"/>
  <c r="C24" i="2" s="1"/>
  <c r="D45" i="1"/>
  <c r="D66" i="1" s="1"/>
  <c r="D35" i="1"/>
  <c r="Z58" i="1"/>
  <c r="Y58" i="1"/>
  <c r="E7" i="3"/>
  <c r="E5" i="3"/>
  <c r="D5" i="3"/>
  <c r="V91" i="1"/>
  <c r="E66" i="1" l="1"/>
  <c r="C52" i="2" s="1"/>
  <c r="E65" i="1"/>
  <c r="C51" i="2" s="1"/>
  <c r="E46" i="1"/>
  <c r="F44" i="1"/>
  <c r="E64" i="1"/>
  <c r="C50" i="2" s="1"/>
  <c r="F45" i="1"/>
  <c r="F66" i="1" s="1"/>
  <c r="F35" i="1"/>
  <c r="F64" i="1"/>
  <c r="G32" i="1"/>
  <c r="G43" i="1" s="1"/>
  <c r="G17" i="1"/>
  <c r="G23" i="1" s="1"/>
  <c r="G34" i="1"/>
  <c r="G33" i="1"/>
  <c r="D46" i="1"/>
  <c r="D49" i="1" s="1"/>
  <c r="E8" i="3"/>
  <c r="E49" i="1" l="1"/>
  <c r="C37" i="2" s="1"/>
  <c r="D51" i="1"/>
  <c r="D60" i="1"/>
  <c r="E51" i="1"/>
  <c r="C39" i="2" s="1"/>
  <c r="E60" i="1"/>
  <c r="C46" i="2" s="1"/>
  <c r="E57" i="1"/>
  <c r="C43" i="2" s="1"/>
  <c r="F46" i="1"/>
  <c r="F49" i="1" s="1"/>
  <c r="F65" i="1"/>
  <c r="G45" i="1"/>
  <c r="G66" i="1" s="1"/>
  <c r="G44" i="1"/>
  <c r="G65" i="1" s="1"/>
  <c r="H34" i="1"/>
  <c r="H32" i="1"/>
  <c r="H43" i="1" s="1"/>
  <c r="H17" i="1"/>
  <c r="H23" i="1" s="1"/>
  <c r="H33" i="1"/>
  <c r="G64" i="1"/>
  <c r="G35" i="1"/>
  <c r="T98" i="1"/>
  <c r="U93" i="1"/>
  <c r="U90" i="1" s="1"/>
  <c r="U87" i="1"/>
  <c r="U88" i="1" s="1"/>
  <c r="U89" i="1"/>
  <c r="E61" i="1" l="1"/>
  <c r="C47" i="2" s="1"/>
  <c r="F51" i="1"/>
  <c r="F60" i="1"/>
  <c r="F57" i="1"/>
  <c r="F61" i="1" s="1"/>
  <c r="G46" i="1"/>
  <c r="G49" i="1" s="1"/>
  <c r="H45" i="1"/>
  <c r="H66" i="1" s="1"/>
  <c r="H44" i="1"/>
  <c r="H65" i="1" s="1"/>
  <c r="H64" i="1"/>
  <c r="H35" i="1"/>
  <c r="I34" i="1"/>
  <c r="I17" i="1"/>
  <c r="I23" i="1" s="1"/>
  <c r="I33" i="1"/>
  <c r="I32" i="1"/>
  <c r="I43" i="1" s="1"/>
  <c r="D61" i="1"/>
  <c r="G60" i="1" l="1"/>
  <c r="G51" i="1"/>
  <c r="H46" i="1"/>
  <c r="H49" i="1" s="1"/>
  <c r="I44" i="1"/>
  <c r="I45" i="1"/>
  <c r="I66" i="1" s="1"/>
  <c r="G57" i="1"/>
  <c r="I35" i="1"/>
  <c r="I64" i="1"/>
  <c r="J34" i="1"/>
  <c r="J33" i="1"/>
  <c r="J17" i="1"/>
  <c r="J23" i="1" s="1"/>
  <c r="J32" i="1"/>
  <c r="J43" i="1" s="1"/>
  <c r="U98" i="1"/>
  <c r="U106" i="1" s="1"/>
  <c r="H51" i="1" l="1"/>
  <c r="I46" i="1"/>
  <c r="I49" i="1" s="1"/>
  <c r="I57" i="1" s="1"/>
  <c r="G61" i="1"/>
  <c r="J44" i="1"/>
  <c r="J65" i="1" s="1"/>
  <c r="J45" i="1"/>
  <c r="J66" i="1" s="1"/>
  <c r="I65" i="1"/>
  <c r="J35" i="1"/>
  <c r="J64" i="1"/>
  <c r="K34" i="1"/>
  <c r="K17" i="1"/>
  <c r="K23" i="1" s="1"/>
  <c r="K33" i="1"/>
  <c r="K32" i="1"/>
  <c r="K43" i="1" s="1"/>
  <c r="AN69" i="1"/>
  <c r="AM69" i="1"/>
  <c r="AN63" i="1"/>
  <c r="AM63" i="1"/>
  <c r="I51" i="1" l="1"/>
  <c r="I61" i="1"/>
  <c r="J46" i="1"/>
  <c r="J49" i="1" s="1"/>
  <c r="J57" i="1" s="1"/>
  <c r="H61" i="1"/>
  <c r="K45" i="1"/>
  <c r="K66" i="1" s="1"/>
  <c r="K44" i="1"/>
  <c r="K35" i="1"/>
  <c r="K64" i="1"/>
  <c r="L34" i="1"/>
  <c r="L17" i="1"/>
  <c r="L23" i="1" s="1"/>
  <c r="L33" i="1"/>
  <c r="L32" i="1"/>
  <c r="L43" i="1" s="1"/>
  <c r="A17" i="2"/>
  <c r="A22" i="2" s="1"/>
  <c r="A32" i="2" s="1"/>
  <c r="T106" i="1"/>
  <c r="T89" i="1"/>
  <c r="T93" i="1"/>
  <c r="S93" i="1" s="1"/>
  <c r="C93" i="1" s="1"/>
  <c r="AA14" i="1"/>
  <c r="AA13" i="1"/>
  <c r="K46" i="1" l="1"/>
  <c r="K49" i="1" s="1"/>
  <c r="K57" i="1" s="1"/>
  <c r="J60" i="1"/>
  <c r="J61" i="1" s="1"/>
  <c r="J51" i="1"/>
  <c r="L44" i="1"/>
  <c r="K65" i="1"/>
  <c r="L45" i="1"/>
  <c r="L66" i="1" s="1"/>
  <c r="L35" i="1"/>
  <c r="L64" i="1"/>
  <c r="M34" i="1"/>
  <c r="M33" i="1"/>
  <c r="M17" i="1"/>
  <c r="M23" i="1" s="1"/>
  <c r="M32" i="1"/>
  <c r="M43" i="1" s="1"/>
  <c r="V93" i="1"/>
  <c r="A33" i="1"/>
  <c r="S29" i="1"/>
  <c r="T29" i="1"/>
  <c r="T120" i="1" s="1"/>
  <c r="C21" i="1"/>
  <c r="K60" i="1" l="1"/>
  <c r="K61" i="1" s="1"/>
  <c r="K51" i="1"/>
  <c r="L46" i="1"/>
  <c r="L49" i="1" s="1"/>
  <c r="M44" i="1"/>
  <c r="L65" i="1"/>
  <c r="M45" i="1"/>
  <c r="M66" i="1" s="1"/>
  <c r="N17" i="1"/>
  <c r="N23" i="1" s="1"/>
  <c r="N33" i="1"/>
  <c r="N34" i="1"/>
  <c r="N32" i="1"/>
  <c r="N43" i="1" s="1"/>
  <c r="M64" i="1"/>
  <c r="M35" i="1"/>
  <c r="Y47" i="1"/>
  <c r="C19" i="1"/>
  <c r="L51" i="1" l="1"/>
  <c r="L57" i="1"/>
  <c r="L61" i="1" s="1"/>
  <c r="M46" i="1"/>
  <c r="M49" i="1" s="1"/>
  <c r="M57" i="1" s="1"/>
  <c r="M65" i="1"/>
  <c r="N45" i="1"/>
  <c r="N66" i="1" s="1"/>
  <c r="N44" i="1"/>
  <c r="N35" i="1"/>
  <c r="N64" i="1"/>
  <c r="O32" i="1"/>
  <c r="O43" i="1" s="1"/>
  <c r="O33" i="1"/>
  <c r="O34" i="1"/>
  <c r="O17" i="1"/>
  <c r="O23" i="1" s="1"/>
  <c r="C34" i="1"/>
  <c r="C33" i="1"/>
  <c r="C32" i="1"/>
  <c r="Z47" i="1"/>
  <c r="A37" i="2"/>
  <c r="A36" i="2"/>
  <c r="A35" i="2"/>
  <c r="A18" i="2"/>
  <c r="A23" i="2" s="1"/>
  <c r="A33" i="2" s="1"/>
  <c r="A16" i="2"/>
  <c r="A21" i="2" s="1"/>
  <c r="A31" i="2" s="1"/>
  <c r="M51" i="1" l="1"/>
  <c r="M60" i="1"/>
  <c r="N46" i="1"/>
  <c r="N49" i="1" s="1"/>
  <c r="N65" i="1"/>
  <c r="M61" i="1"/>
  <c r="O44" i="1"/>
  <c r="O65" i="1" s="1"/>
  <c r="O45" i="1"/>
  <c r="O66" i="1" s="1"/>
  <c r="P32" i="1"/>
  <c r="P43" i="1" s="1"/>
  <c r="P34" i="1"/>
  <c r="P17" i="1"/>
  <c r="P23" i="1" s="1"/>
  <c r="P33" i="1"/>
  <c r="O64" i="1"/>
  <c r="O35" i="1"/>
  <c r="C44" i="1"/>
  <c r="C17" i="1"/>
  <c r="B140" i="1"/>
  <c r="B134" i="1"/>
  <c r="T90" i="1"/>
  <c r="S90" i="1"/>
  <c r="C90" i="1"/>
  <c r="S89" i="1"/>
  <c r="C89" i="1"/>
  <c r="T87" i="1"/>
  <c r="T88" i="1" s="1"/>
  <c r="S87" i="1"/>
  <c r="S88" i="1" s="1"/>
  <c r="C87" i="1"/>
  <c r="C88" i="1" s="1"/>
  <c r="N57" i="1" l="1"/>
  <c r="N51" i="1"/>
  <c r="N60" i="1"/>
  <c r="C65" i="1"/>
  <c r="P44" i="1"/>
  <c r="P65" i="1" s="1"/>
  <c r="O46" i="1"/>
  <c r="O49" i="1" s="1"/>
  <c r="P45" i="1"/>
  <c r="P66" i="1" s="1"/>
  <c r="P35" i="1"/>
  <c r="P64" i="1"/>
  <c r="Q34" i="1"/>
  <c r="Q17" i="1"/>
  <c r="Q23" i="1" s="1"/>
  <c r="Q33" i="1"/>
  <c r="Q32" i="1"/>
  <c r="Q43" i="1" s="1"/>
  <c r="C29" i="1"/>
  <c r="S98" i="1"/>
  <c r="C98" i="1"/>
  <c r="S120" i="1"/>
  <c r="U29" i="1"/>
  <c r="U120" i="1" s="1"/>
  <c r="S79" i="1"/>
  <c r="C79" i="1"/>
  <c r="N61" i="1" l="1"/>
  <c r="O51" i="1"/>
  <c r="O60" i="1"/>
  <c r="P46" i="1"/>
  <c r="P49" i="1" s="1"/>
  <c r="Q44" i="1"/>
  <c r="Q65" i="1" s="1"/>
  <c r="Q45" i="1"/>
  <c r="Q66" i="1" s="1"/>
  <c r="O57" i="1"/>
  <c r="Q35" i="1"/>
  <c r="Q64" i="1"/>
  <c r="R34" i="1"/>
  <c r="R17" i="1"/>
  <c r="R23" i="1" s="1"/>
  <c r="R33" i="1"/>
  <c r="R32" i="1"/>
  <c r="R43" i="1" s="1"/>
  <c r="V29" i="1"/>
  <c r="C106" i="1"/>
  <c r="U100" i="1"/>
  <c r="U108" i="1" s="1"/>
  <c r="T100" i="1"/>
  <c r="C23" i="1"/>
  <c r="B79" i="1"/>
  <c r="S106" i="1"/>
  <c r="C120" i="1"/>
  <c r="C78" i="1"/>
  <c r="C100" i="1"/>
  <c r="C108" i="1" s="1"/>
  <c r="P60" i="1" l="1"/>
  <c r="P51" i="1"/>
  <c r="O61" i="1"/>
  <c r="Q46" i="1"/>
  <c r="Q49" i="1" s="1"/>
  <c r="R45" i="1"/>
  <c r="R66" i="1" s="1"/>
  <c r="R44" i="1"/>
  <c r="R65" i="1" s="1"/>
  <c r="P57" i="1"/>
  <c r="S34" i="1"/>
  <c r="S45" i="1" s="1"/>
  <c r="S17" i="1"/>
  <c r="S33" i="1"/>
  <c r="S32" i="1"/>
  <c r="S43" i="1" s="1"/>
  <c r="R35" i="1"/>
  <c r="R64" i="1"/>
  <c r="C82" i="1"/>
  <c r="C80" i="1"/>
  <c r="S100" i="1"/>
  <c r="S108" i="1" s="1"/>
  <c r="T108" i="1"/>
  <c r="W120" i="1"/>
  <c r="C83" i="1"/>
  <c r="C81" i="1"/>
  <c r="C35" i="1"/>
  <c r="Q51" i="1" l="1"/>
  <c r="Q60" i="1"/>
  <c r="R46" i="1"/>
  <c r="R49" i="1" s="1"/>
  <c r="P61" i="1"/>
  <c r="Q57" i="1"/>
  <c r="S44" i="1"/>
  <c r="S46" i="1" s="1"/>
  <c r="S49" i="1" s="1"/>
  <c r="T34" i="1"/>
  <c r="T17" i="1"/>
  <c r="T33" i="1"/>
  <c r="T32" i="1"/>
  <c r="T43" i="1" s="1"/>
  <c r="S35" i="1"/>
  <c r="S23" i="1"/>
  <c r="T79" i="1"/>
  <c r="S78" i="1"/>
  <c r="C97" i="1"/>
  <c r="C99" i="1"/>
  <c r="C102" i="1" s="1"/>
  <c r="C121" i="1"/>
  <c r="C124" i="1" s="1"/>
  <c r="R60" i="1" l="1"/>
  <c r="R51" i="1"/>
  <c r="S60" i="1"/>
  <c r="S51" i="1"/>
  <c r="S57" i="1"/>
  <c r="S65" i="1"/>
  <c r="R57" i="1"/>
  <c r="Q61" i="1"/>
  <c r="T44" i="1"/>
  <c r="T65" i="1" s="1"/>
  <c r="T45" i="1"/>
  <c r="T66" i="1" s="1"/>
  <c r="U34" i="1"/>
  <c r="U45" i="1" s="1"/>
  <c r="U17" i="1"/>
  <c r="U33" i="1"/>
  <c r="U32" i="1"/>
  <c r="T35" i="1"/>
  <c r="S80" i="1"/>
  <c r="S83" i="1"/>
  <c r="S82" i="1"/>
  <c r="S81" i="1"/>
  <c r="U79" i="1"/>
  <c r="T78" i="1"/>
  <c r="T23" i="1"/>
  <c r="C45" i="1"/>
  <c r="S121" i="1"/>
  <c r="S124" i="1" s="1"/>
  <c r="S97" i="1"/>
  <c r="S99" i="1"/>
  <c r="S102" i="1" s="1"/>
  <c r="S66" i="1"/>
  <c r="V32" i="1" l="1"/>
  <c r="V33" i="1"/>
  <c r="V34" i="1"/>
  <c r="C66" i="1"/>
  <c r="U44" i="1"/>
  <c r="U65" i="1" s="1"/>
  <c r="U35" i="1"/>
  <c r="U121" i="1" s="1"/>
  <c r="U124" i="1" s="1"/>
  <c r="U43" i="1"/>
  <c r="T46" i="1"/>
  <c r="T49" i="1" s="1"/>
  <c r="R61" i="1"/>
  <c r="S61" i="1"/>
  <c r="T97" i="1"/>
  <c r="T101" i="1" s="1"/>
  <c r="T121" i="1"/>
  <c r="T124" i="1" s="1"/>
  <c r="V17" i="1"/>
  <c r="V23" i="1" s="1"/>
  <c r="T80" i="1"/>
  <c r="T82" i="1"/>
  <c r="T83" i="1"/>
  <c r="T81" i="1"/>
  <c r="U23" i="1"/>
  <c r="U78" i="1"/>
  <c r="T99" i="1"/>
  <c r="T102" i="1" s="1"/>
  <c r="C19" i="2"/>
  <c r="U66" i="1"/>
  <c r="U97" i="1" l="1"/>
  <c r="U101" i="1" s="1"/>
  <c r="U99" i="1"/>
  <c r="U102" i="1" s="1"/>
  <c r="T51" i="1"/>
  <c r="T60" i="1"/>
  <c r="V45" i="1"/>
  <c r="W45" i="1" s="1"/>
  <c r="W34" i="1"/>
  <c r="V44" i="1"/>
  <c r="W44" i="1" s="1"/>
  <c r="W33" i="1"/>
  <c r="V43" i="1"/>
  <c r="V35" i="1"/>
  <c r="W32" i="1"/>
  <c r="U46" i="1"/>
  <c r="U49" i="1" s="1"/>
  <c r="T57" i="1"/>
  <c r="W121" i="1"/>
  <c r="W124" i="1" s="1"/>
  <c r="U80" i="1"/>
  <c r="U81" i="1"/>
  <c r="U83" i="1"/>
  <c r="U82" i="1"/>
  <c r="C14" i="2"/>
  <c r="W35" i="1" l="1"/>
  <c r="U51" i="1"/>
  <c r="U60" i="1"/>
  <c r="V46" i="1"/>
  <c r="V49" i="1" s="1"/>
  <c r="V65" i="1"/>
  <c r="W65" i="1" s="1"/>
  <c r="V57" i="1"/>
  <c r="C64" i="1"/>
  <c r="W43" i="1"/>
  <c r="W46" i="1" s="1"/>
  <c r="U57" i="1"/>
  <c r="T61" i="1"/>
  <c r="V51" i="1" l="1"/>
  <c r="V60" i="1"/>
  <c r="V61" i="1" s="1"/>
  <c r="U61" i="1"/>
  <c r="V66" i="1"/>
  <c r="W66" i="1" s="1"/>
  <c r="C46" i="1"/>
  <c r="C49" i="1" s="1"/>
  <c r="S64" i="1"/>
  <c r="W49" i="1" l="1"/>
  <c r="W51" i="1" s="1"/>
  <c r="C105" i="1"/>
  <c r="C109" i="1" s="1"/>
  <c r="T64" i="1"/>
  <c r="C101" i="1"/>
  <c r="C122" i="1"/>
  <c r="C125" i="1" s="1"/>
  <c r="C107" i="1"/>
  <c r="C110" i="1" s="1"/>
  <c r="W57" i="1" l="1"/>
  <c r="S105" i="1"/>
  <c r="S109" i="1" s="1"/>
  <c r="S101" i="1"/>
  <c r="S122" i="1"/>
  <c r="S125" i="1" s="1"/>
  <c r="S107" i="1"/>
  <c r="S110" i="1" s="1"/>
  <c r="U64" i="1"/>
  <c r="C44" i="2" l="1"/>
  <c r="W58" i="1"/>
  <c r="U107" i="1"/>
  <c r="U110" i="1" s="1"/>
  <c r="T105" i="1"/>
  <c r="T109" i="1" s="1"/>
  <c r="T107" i="1"/>
  <c r="T110" i="1" s="1"/>
  <c r="T122" i="1"/>
  <c r="W60" i="1" l="1"/>
  <c r="W61" i="1" s="1"/>
  <c r="U122" i="1"/>
  <c r="U125" i="1" s="1"/>
  <c r="U105" i="1"/>
  <c r="U109" i="1" s="1"/>
  <c r="T125" i="1"/>
  <c r="V64" i="1" l="1"/>
  <c r="W64" i="1" s="1"/>
  <c r="W67" i="1" s="1"/>
  <c r="W68" i="1" s="1"/>
  <c r="W122" i="1"/>
  <c r="W125" i="1" s="1"/>
  <c r="Z46" i="1" l="1"/>
  <c r="Y46" i="1"/>
  <c r="Z57" i="1" l="1"/>
  <c r="Y57" i="1"/>
  <c r="Y49" i="1" l="1"/>
  <c r="Z49" i="1"/>
  <c r="Y51" i="1" l="1"/>
  <c r="Z51" i="1"/>
  <c r="Y60" i="1" l="1"/>
  <c r="Z60" i="1"/>
  <c r="Y66" i="1" l="1"/>
  <c r="Z66" i="1"/>
  <c r="Y65" i="1"/>
  <c r="Z65" i="1"/>
  <c r="Z61" i="1"/>
  <c r="Y61" i="1"/>
  <c r="Z64" i="1"/>
  <c r="Y6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Shanon</author>
  </authors>
  <commentList>
    <comment ref="A14" authorId="0" shapeId="0" xr:uid="{8D87F14A-02CC-4E89-B990-5E75C549E366}">
      <text>
        <r>
          <rPr>
            <b/>
            <sz val="9"/>
            <color indexed="81"/>
            <rFont val="Tahoma"/>
            <family val="2"/>
          </rPr>
          <t>Shanon:</t>
        </r>
        <r>
          <rPr>
            <sz val="9"/>
            <color indexed="81"/>
            <rFont val="Tahoma"/>
            <family val="2"/>
          </rPr>
          <t xml:space="preserve">
100% of tax increment from residential is returned to County, need to monitor this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tc={F60A3497-C42E-424C-9FAC-0E981F03A021}</author>
  </authors>
  <commentList>
    <comment ref="E16" authorId="0" shapeId="0" xr:uid="{F60A3497-C42E-424C-9FAC-0E981F03A021}">
      <text>
        <t>[Threaded comment]
Your version of Excel allows you to read this threaded comment; however, any edits to it will get removed if the file is opened in a newer version of Excel. Learn more: https://go.microsoft.com/fwlink/?linkid=870924
Comment:
    Geofortis will be developed 2020/2021.
Reply:
    Jared Stewart provided a figure 259.22 for undeveloped acres on 10/18/21.  Added an additionl 8.3 developed acres in 2020 to get to this figure.</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<sst xmlns="http://schemas.openxmlformats.org/spreadsheetml/2006/main" count="317" uniqueCount="145">
  <si>
    <t>Multi-Year Project Area Budget Projections</t>
  </si>
  <si>
    <t>Tax Year</t>
  </si>
  <si>
    <t>TOTALS</t>
  </si>
  <si>
    <t>Payment Year</t>
  </si>
  <si>
    <t>REVENUE:</t>
  </si>
  <si>
    <t>TAXABLE VALUATION:</t>
  </si>
  <si>
    <t>Personal Property</t>
  </si>
  <si>
    <t>Centrally Assessed</t>
  </si>
  <si>
    <t>Total Assessed Value</t>
  </si>
  <si>
    <t>Base Year Value</t>
  </si>
  <si>
    <t>Total Incremental Assessed Value</t>
  </si>
  <si>
    <t>Total Tax Rate</t>
  </si>
  <si>
    <t>PROPERTY TAX INCREMENT REVENUES</t>
  </si>
  <si>
    <t>Total Property Tax Increment:</t>
  </si>
  <si>
    <t>Total Property Tax Increment Revenue to Project Area</t>
  </si>
  <si>
    <t xml:space="preserve">Interest Revenues Earned </t>
  </si>
  <si>
    <t>Total Tax Increment Actually Collected and Paid</t>
  </si>
  <si>
    <t>CDA Administration @ 5%</t>
  </si>
  <si>
    <t>CALCULATIONS FOR REPORT</t>
  </si>
  <si>
    <t>Relative Growth in Assessed Values</t>
  </si>
  <si>
    <t>Project Area</t>
  </si>
  <si>
    <t>Current Year Assessed Value</t>
  </si>
  <si>
    <t>Prior Year Assessed Value</t>
  </si>
  <si>
    <t>Annual Growth Rate</t>
  </si>
  <si>
    <t>Lifetime Growth Rate each year</t>
  </si>
  <si>
    <t>AAGR</t>
  </si>
  <si>
    <t>CAGR</t>
  </si>
  <si>
    <t># Years since base</t>
  </si>
  <si>
    <t>Growth in Tax Increment</t>
  </si>
  <si>
    <t>Tax Increment from Project Area</t>
  </si>
  <si>
    <t>Annual Actual Revenues</t>
  </si>
  <si>
    <t>Annual Base Year Value Revenues</t>
  </si>
  <si>
    <t>Lifetime Actual Revenues</t>
  </si>
  <si>
    <t>Lifetime Base Year Value Revenues</t>
  </si>
  <si>
    <t>Annual % Above Base</t>
  </si>
  <si>
    <t>Lifetime % Above Base</t>
  </si>
  <si>
    <t>Pass Thru Increment (above base)</t>
  </si>
  <si>
    <t>Table 2.10</t>
  </si>
  <si>
    <t>PROJECT AREA BUDGET</t>
  </si>
  <si>
    <t>FY 2019 - 2032</t>
  </si>
  <si>
    <t>REVENUES</t>
  </si>
  <si>
    <t>Property Tax Increment</t>
  </si>
  <si>
    <t>Transient Room Tax</t>
  </si>
  <si>
    <t>Sales Tax Increment</t>
  </si>
  <si>
    <t>Developer Contributions to Debt Service</t>
  </si>
  <si>
    <t xml:space="preserve">Interest Revenue </t>
  </si>
  <si>
    <t xml:space="preserve">Total Revenue [1] </t>
  </si>
  <si>
    <t>EXPENDITURES</t>
  </si>
  <si>
    <t>Debt Service Payments</t>
  </si>
  <si>
    <t>Development Activities</t>
  </si>
  <si>
    <t>Other Development Activities</t>
  </si>
  <si>
    <t>Total Expenditures</t>
  </si>
  <si>
    <t xml:space="preserve">[1] The tax increment revenues outlined in the Forecasted Project Area Budget are based upon the completion of various projects as outlined in the Development Agreement by FY 2018. These include the construction of a full service hotel with a minimum of 10 floors and 300 guest rooms, a connected convention center of not less than 100,000 square feet, a limited service hotel with 200 – 220 guest rooms, 2 restaurants, and other necessary supporting businesses.  </t>
  </si>
  <si>
    <t>Tooele County</t>
  </si>
  <si>
    <t>Tooele City</t>
  </si>
  <si>
    <t>Total Tax Uncollected Tax Increment</t>
  </si>
  <si>
    <t>Real Property</t>
  </si>
  <si>
    <t>Tooele County School District</t>
  </si>
  <si>
    <t>Developed</t>
  </si>
  <si>
    <t>Undeveloped</t>
  </si>
  <si>
    <t>COMBINED BUDGET - ALL PROJECT AREAS</t>
  </si>
  <si>
    <r>
      <t>ACTUAL</t>
    </r>
    <r>
      <rPr>
        <sz val="12"/>
        <color rgb="FF000000"/>
        <rFont val="Gill Sans MT"/>
        <family val="2"/>
      </rPr>
      <t> </t>
    </r>
  </si>
  <si>
    <t>PROJECTIONS</t>
  </si>
  <si>
    <t>REMAINING LIFE</t>
  </si>
  <si>
    <t>TY 2018/FY 2019 TOTALS</t>
  </si>
  <si>
    <t>(INCLUDES FY 2019 TOTALS)</t>
  </si>
  <si>
    <t>FY 2019 TOTALS</t>
  </si>
  <si>
    <t>(INCLUDES 2019 TOTALS)</t>
  </si>
  <si>
    <t>Total Acres</t>
  </si>
  <si>
    <t>New Development</t>
  </si>
  <si>
    <t>New Dev Total</t>
  </si>
  <si>
    <t>% Developed</t>
  </si>
  <si>
    <t>% Undeveloped</t>
  </si>
  <si>
    <t xml:space="preserve">PER Shannon Wimmer, DO NOT INCLUDE TY2023/FY2024 or TY2022/FY2023. In dispute with County over whether or not they get this. Mayor decided to just not include this year. 10/30/2020. </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</si>
  <si>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</si>
  <si>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</si>
  <si>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</si>
  <si>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</si>
  <si>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</si>
  <si>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</si>
  <si>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</si>
  <si>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</si>
  <si>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</si>
  <si>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</si>
  <si>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</si>
  <si>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</si>
  <si>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</si>
  <si>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</si>
  <si>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</si>
  <si>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</si>
  <si>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</si>
  <si>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</si>
  <si>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</si>
  <si>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</si>
  <si>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TAX RATES</t>
  </si>
  <si>
    <t>PARTICIPATION PERCENTAGES</t>
  </si>
  <si>
    <t>PROJECT PORTION</t>
  </si>
  <si>
    <t>Total Property Tax Increment Available to RDA</t>
  </si>
  <si>
    <t>Total Sources of Revenue</t>
  </si>
  <si>
    <t>PROJECT AREA BUDGET AND USE OF FUNDS</t>
  </si>
  <si>
    <t>RETAINED PORTION OF TAX INCREMENT</t>
  </si>
  <si>
    <t>Year</t>
  </si>
  <si>
    <t>Total Property Tax Increment</t>
  </si>
  <si>
    <t xml:space="preserve">Real &amp; Centrally Assessed </t>
  </si>
  <si>
    <t>1000 North Retail Community Reinvestment Area</t>
  </si>
  <si>
    <t>CRA Administration @ 5%</t>
  </si>
  <si>
    <t>CRA Housing Requirement @ 20%</t>
  </si>
  <si>
    <t>Total Capped Amount of $900,000</t>
  </si>
  <si>
    <t>Total Capped Amount of $2,500,000</t>
  </si>
  <si>
    <t>Total Capped Amount of $2,000,000</t>
  </si>
  <si>
    <t>Original budget shows these values, which include residential</t>
  </si>
  <si>
    <t xml:space="preserve">Annual Developer payment of 95% of tax increment. </t>
  </si>
  <si>
    <t>Guaranteed annual payment of  $150,000 for 15 years regardless of tax increment collections.  In addition to 95%?</t>
  </si>
  <si>
    <t>Guaranteed Developer Payment</t>
  </si>
  <si>
    <t>Developer Reimbursement @ 95%</t>
  </si>
  <si>
    <t>Reimbursement CAP of $4,754,000</t>
  </si>
  <si>
    <t>RDA Fund Balance</t>
  </si>
  <si>
    <t>GROWTH IN ASSESSED VALUE</t>
  </si>
  <si>
    <t>CURRENT YEAR</t>
  </si>
  <si>
    <t>COMPARISON YEAR</t>
  </si>
  <si>
    <t>GROWTH RATE</t>
  </si>
  <si>
    <t xml:space="preserve">CAGR </t>
  </si>
  <si>
    <t>ASSESSED VALUES IN PROJECT AREA</t>
  </si>
  <si>
    <t>Annual Growth in Project Area (2024 vs. 2023)</t>
  </si>
  <si>
    <t>GROWTH IN TAX INCREMENT</t>
  </si>
  <si>
    <t>ORIGINAL BUDGET* REVENUES</t>
  </si>
  <si>
    <t>ACTUAL REVENUE</t>
  </si>
  <si>
    <t>BASE YEAR VALUE REVENUES</t>
  </si>
  <si>
    <t xml:space="preserve">% </t>
  </si>
  <si>
    <t xml:space="preserve">ABOVE </t>
  </si>
  <si>
    <t>BASE</t>
  </si>
  <si>
    <t>TAX INCREMENT FROM PROJECT AREA</t>
  </si>
  <si>
    <t>Tax Year 2024</t>
  </si>
  <si>
    <t>Lifetime Revenue (2017-2026)</t>
  </si>
  <si>
    <t>PASS THROUGH INCREMENT (ABOVE BASE)</t>
  </si>
  <si>
    <t>Total Revenue</t>
  </si>
  <si>
    <t>N/A</t>
  </si>
  <si>
    <t>Life Growth in Project Area (2024 vs. Base)</t>
  </si>
  <si>
    <t>Developer Reimbursment</t>
  </si>
  <si>
    <t xml:space="preserve"> FY 2025-2045</t>
  </si>
  <si>
    <t>Totals</t>
  </si>
  <si>
    <t>Interest Revenues Earned</t>
  </si>
  <si>
    <t>Total Tax Uncollected and Paid</t>
  </si>
  <si>
    <t>HISTORIC</t>
  </si>
  <si>
    <t>PROJECTED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</si>
</sst>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000%"/>
    <numFmt numFmtId="167" formatCode="0.000000_);\(0.000000\)"/>
    <numFmt numFmtId="168" formatCode="_(* #,##0.000000_);_(* \(#,##0.000000\);_(* &quot;-&quot;??_);_(@_)"/>
    <numFmt numFmtId="169" formatCode="0.0%"/>
    <numFmt numFmtId="170" formatCode="#,##0%"/>
  </numFmts>
  <fonts count="53" x14ac:knownFonts="1">
    <font>
      <sz val="11"/>
      <color theme="1"/>
      <name val="Calibri"/>
      <family val="2"/>
      <scheme val="minor"/>
    </font>
    <font>
      <sz val="11"/>
      <color theme="1"/>
      <name val="Calibri"/>
      <family val="2"/>
      <scheme val="minor"/>
    </font>
    <font>
      <sz val="26"/>
      <color theme="1"/>
      <name val="Gill Sans MT"/>
      <family val="2"/>
    </font>
    <font>
      <sz val="16"/>
      <color theme="1"/>
      <name val="Gill Sans MT"/>
      <family val="2"/>
    </font>
    <font>
      <sz val="10"/>
      <name val="Arial Narrow"/>
      <family val="2"/>
    </font>
    <font>
      <sz val="11"/>
      <name val="Arial Narrow"/>
      <family val="2"/>
    </font>
    <font>
      <sz val="9"/>
      <color rgb="FF244061"/>
      <name val="Palatino Linotype"/>
      <family val="1"/>
    </font>
    <font>
      <u/>
      <sz val="11"/>
      <color theme="10"/>
      <name val="Calibri"/>
      <family val="2"/>
      <scheme val="minor"/>
    </font>
    <font>
      <sz val="12"/>
      <color theme="0"/>
      <name val="Gill Sans MT"/>
      <family val="2"/>
    </font>
    <font>
      <b/>
      <sz val="11"/>
      <color theme="1"/>
      <name val="Gill Sans MT"/>
      <family val="2"/>
    </font>
    <font>
      <sz val="11"/>
      <color theme="1"/>
      <name val="Gill Sans MT"/>
      <family val="2"/>
    </font>
    <font>
      <b/>
      <sz val="10"/>
      <name val="Gill Sans MT"/>
      <family val="2"/>
    </font>
    <font>
      <sz val="10"/>
      <name val="Arial"/>
      <family val="2"/>
    </font>
    <font>
      <b/>
      <sz val="11"/>
      <name val="Gill Sans MT"/>
      <family val="2"/>
    </font>
    <font>
      <sz val="11"/>
      <name val="Gill Sans MT"/>
      <family val="2"/>
    </font>
    <font>
      <sz val="10"/>
      <color rgb="FF000000"/>
      <name val="Gill Sans MT"/>
      <family val="2"/>
    </font>
    <font>
      <b/>
      <sz val="11"/>
      <name val="Arial Narrow"/>
      <family val="2"/>
    </font>
    <font>
      <sz val="10"/>
      <name val="Gill Sans MT"/>
      <family val="2"/>
    </font>
    <font>
      <sz val="14"/>
      <color rgb="FFFFFFFF"/>
      <name val="Arial"/>
      <family val="2"/>
    </font>
    <font>
      <sz val="11"/>
      <color rgb="FF000000"/>
      <name val="Gill Sans MT"/>
      <family val="2"/>
    </font>
    <font>
      <b/>
      <sz val="10"/>
      <color rgb="FF000000"/>
      <name val="Gill Sans MT"/>
      <family val="2"/>
    </font>
    <font>
      <sz val="10"/>
      <name val="Palatino Linotype"/>
      <family val="1"/>
    </font>
    <font>
      <sz val="11"/>
      <name val="Calibri"/>
      <family val="2"/>
    </font>
    <font>
      <u/>
      <sz val="11"/>
      <name val="Arial Narrow"/>
      <family val="2"/>
    </font>
    <font>
      <sz val="11"/>
      <color indexed="9"/>
      <name val="Arial Narrow"/>
      <family val="2"/>
    </font>
    <font>
      <sz val="18"/>
      <color theme="1"/>
      <name val="Gill Sans MT"/>
      <family val="2"/>
    </font>
    <font>
      <sz val="10"/>
      <color rgb="FF1F4E78"/>
      <name val="Gill Sans MT"/>
      <family val="2"/>
    </font>
    <font>
      <sz val="24"/>
      <color theme="1"/>
      <name val="Gill Sans MT"/>
      <family val="2"/>
    </font>
    <font>
      <sz val="24"/>
      <color theme="1"/>
      <name val="Calibri"/>
      <family val="2"/>
      <scheme val="minor"/>
    </font>
    <font>
      <sz val="12"/>
      <color rgb="FF000000"/>
      <name val="Gill Sans MT"/>
      <family val="2"/>
    </font>
    <font>
      <sz val="11"/>
      <color rgb="FFFF0000"/>
      <name val="Calibri"/>
      <family val="2"/>
      <scheme val="minor"/>
    </font>
    <font>
      <sz val="8"/>
      <name val="Calibri"/>
      <family val="2"/>
      <scheme val="minor"/>
    </font>
    <font>
      <sz val="22"/>
      <color theme="1"/>
      <name val="Arial Narrow"/>
      <family val="2"/>
    </font>
    <font>
      <sz val="14"/>
      <color theme="1"/>
      <name val="Arial Narrow"/>
      <family val="2"/>
    </font>
    <font>
      <sz val="11"/>
      <color theme="1"/>
      <name val="Arial Narrow"/>
      <family val="2"/>
    </font>
    <font>
      <b/>
      <sz val="11"/>
      <color theme="0"/>
      <name val="Arial Narrow"/>
      <family val="2"/>
    </font>
    <font>
      <b/>
      <sz val="11"/>
      <color theme="1"/>
      <name val="Arial Narrow"/>
      <family val="2"/>
    </font>
    <font>
      <i/>
      <sz val="11"/>
      <color rgb="FF00A7E1"/>
      <name val="Arial Narrow"/>
      <family val="2"/>
    </font>
    <font>
      <b/>
      <i/>
      <sz val="11"/>
      <color rgb="FF00A7E1"/>
      <name val="Arial Narrow"/>
      <family val="2"/>
    </font>
    <font>
      <sz val="11"/>
      <color rgb="FF00B0F0"/>
      <name val="Arial Narrow"/>
      <family val="2"/>
    </font>
    <font>
      <b/>
      <i/>
      <sz val="10"/>
      <name val="Arial Narrow"/>
      <family val="2"/>
    </font>
    <font>
      <sz val="9"/>
      <color indexed="81"/>
      <name val="Tahoma"/>
      <family val="2"/>
    </font>
    <font>
      <b/>
      <sz val="9"/>
      <color indexed="81"/>
      <name val="Tahoma"/>
      <family val="2"/>
    </font>
    <font>
      <b/>
      <sz val="12"/>
      <color rgb="FFFFFFFF"/>
      <name val="Open Sans"/>
      <family val="2"/>
    </font>
    <font>
      <b/>
      <sz val="12"/>
      <name val="Open Sans"/>
      <family val="2"/>
    </font>
    <font>
      <b/>
      <sz val="11"/>
      <color theme="0"/>
      <name val="Open Sans"/>
      <family val="2"/>
    </font>
    <font>
      <b/>
      <sz val="12"/>
      <color theme="0"/>
      <name val="Open Sans"/>
      <family val="2"/>
    </font>
    <font>
      <sz val="11"/>
      <name val="Open Sans"/>
      <family val="2"/>
    </font>
    <font>
      <sz val="11"/>
      <color indexed="8"/>
      <name val="Calibri"/>
      <family val="2"/>
    </font>
    <font>
      <b/>
      <sz val="10"/>
      <color theme="0"/>
      <name val="Open Sans"/>
      <family val="2"/>
    </font>
    <font>
      <sz val="10"/>
      <name val="Open Sans"/>
      <family val="2"/>
    </font>
    <font>
      <b/>
      <sz val="10"/>
      <name val="Open Sans"/>
      <family val="2"/>
    </font>
    <font>
      <sz val="12"/>
      <name val="Arial Narrow"/>
      <family val="2"/>
    </font>
  </fonts>
  <fills count="1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rgb="FF808080"/>
        <bgColor indexed="64"/>
      </patternFill>
    </fill>
    <fill>
      <patternFill patternType="solid">
        <fgColor rgb="FFBFBFBF"/>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rgb="FFD9D9D9"/>
        <bgColor indexed="64"/>
      </patternFill>
    </fill>
    <fill>
      <patternFill patternType="solid">
        <fgColor theme="9" tint="0.79998168889431442"/>
        <bgColor indexed="64"/>
      </patternFill>
    </fill>
    <fill>
      <patternFill patternType="solid">
        <fgColor theme="1"/>
        <bgColor indexed="64"/>
      </patternFill>
    </fill>
    <fill>
      <patternFill patternType="solid">
        <fgColor rgb="FF00B0F0"/>
        <bgColor indexed="64"/>
      </patternFill>
    </fill>
  </fills>
  <borders count="58">
    <border>
      <left/>
      <right/>
      <top/>
      <bottom/>
      <diagonal/>
    </border>
    <border>
      <left/>
      <right/>
      <top style="medium">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thin">
        <color indexed="55"/>
      </top>
      <bottom style="medium">
        <color indexed="64"/>
      </bottom>
      <diagonal/>
    </border>
    <border>
      <left/>
      <right style="medium">
        <color indexed="64"/>
      </right>
      <top style="medium">
        <color indexed="64"/>
      </top>
      <bottom/>
      <diagonal/>
    </border>
    <border>
      <left/>
      <right/>
      <top style="thin">
        <color indexed="64"/>
      </top>
      <bottom style="thin">
        <color indexed="64"/>
      </bottom>
      <diagonal/>
    </border>
    <border>
      <left/>
      <right/>
      <top style="thin">
        <color indexed="64"/>
      </top>
      <bottom/>
      <diagonal/>
    </border>
    <border>
      <left/>
      <right/>
      <top/>
      <bottom style="medium">
        <color rgb="FF808080"/>
      </bottom>
      <diagonal/>
    </border>
    <border>
      <left/>
      <right/>
      <top style="medium">
        <color rgb="FF808080"/>
      </top>
      <bottom style="medium">
        <color rgb="FF808080"/>
      </bottom>
      <diagonal/>
    </border>
    <border>
      <left/>
      <right style="medium">
        <color rgb="FF808080"/>
      </right>
      <top/>
      <bottom style="medium">
        <color rgb="FF808080"/>
      </bottom>
      <diagonal/>
    </border>
    <border>
      <left/>
      <right style="medium">
        <color rgb="FF808080"/>
      </right>
      <top/>
      <bottom style="thick">
        <color rgb="FF808080"/>
      </bottom>
      <diagonal/>
    </border>
    <border>
      <left style="medium">
        <color rgb="FF808080"/>
      </left>
      <right style="medium">
        <color rgb="FF808080"/>
      </right>
      <top/>
      <bottom style="medium">
        <color rgb="FF808080"/>
      </bottom>
      <diagonal/>
    </border>
    <border>
      <left/>
      <right/>
      <top style="medium">
        <color rgb="FF808080"/>
      </top>
      <bottom/>
      <diagonal/>
    </border>
    <border>
      <left style="medium">
        <color rgb="FF808080"/>
      </left>
      <right style="medium">
        <color rgb="FF808080"/>
      </right>
      <top/>
      <bottom/>
      <diagonal/>
    </border>
    <border>
      <left style="medium">
        <color rgb="FF808080"/>
      </left>
      <right style="medium">
        <color rgb="FF808080"/>
      </right>
      <top style="medium">
        <color rgb="FF808080"/>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rgb="FF021E2F"/>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medium">
        <color rgb="FF021E2F"/>
      </bottom>
      <diagonal/>
    </border>
    <border>
      <left style="thin">
        <color indexed="64"/>
      </left>
      <right style="thin">
        <color indexed="64"/>
      </right>
      <top style="thin">
        <color indexed="64"/>
      </top>
      <bottom style="medium">
        <color rgb="FF021E2F"/>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rgb="FF021E2F"/>
      </bottom>
      <diagonal/>
    </border>
    <border>
      <left style="thin">
        <color rgb="FF000000"/>
      </left>
      <right/>
      <top/>
      <bottom/>
      <diagonal/>
    </border>
    <border>
      <left style="thin">
        <color rgb="FF000000"/>
      </left>
      <right/>
      <top style="thin">
        <color indexed="64"/>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rgb="FF000000"/>
      </top>
      <bottom/>
      <diagonal/>
    </border>
    <border>
      <left style="thin">
        <color rgb="FF000000"/>
      </left>
      <right/>
      <top/>
      <bottom style="thin">
        <color indexed="64"/>
      </bottom>
      <diagonal/>
    </border>
    <border>
      <left style="thin">
        <color rgb="FF000000"/>
      </left>
      <right style="thin">
        <color rgb="FF000000"/>
      </right>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top style="thin">
        <color rgb="FF000000"/>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rgb="FF000000"/>
      </top>
      <bottom style="thin">
        <color indexed="64"/>
      </bottom>
      <diagonal/>
    </border>
    <border>
      <left style="thin">
        <color indexed="64"/>
      </left>
      <right style="thin">
        <color indexed="64"/>
      </right>
      <top style="medium">
        <color indexed="64"/>
      </top>
      <bottom style="medium">
        <color indexed="64"/>
      </bottom>
      <diagonal/>
    </border>
    <border>
      <left/>
      <right/>
      <top/>
      <bottom style="medium">
        <color rgb="FF404040"/>
      </bottom>
      <diagonal/>
    </border>
    <border>
      <left/>
      <right style="medium">
        <color rgb="FF404040"/>
      </right>
      <top/>
      <bottom style="medium">
        <color rgb="FF404040"/>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43" fontId="12" fillId="0" borderId="0" applyFont="0" applyFill="0" applyBorder="0" applyAlignment="0" applyProtection="0"/>
    <xf numFmtId="0" fontId="12" fillId="0" borderId="0"/>
    <xf numFmtId="9" fontId="12" fillId="0" borderId="0" applyFont="0" applyFill="0" applyBorder="0" applyAlignment="0" applyProtection="0"/>
    <xf numFmtId="44" fontId="12" fillId="0" borderId="0" applyFont="0" applyFill="0" applyBorder="0" applyAlignment="0" applyProtection="0"/>
    <xf numFmtId="9" fontId="48" fillId="0" borderId="0" applyFont="0" applyFill="0" applyBorder="0" applyAlignment="0" applyProtection="0"/>
  </cellStyleXfs>
  <cellXfs count="315">
    <xf numFmtId="0" fontId="0" fillId="0" borderId="0" xfId="0"/>
    <xf numFmtId="0" fontId="3" fillId="0" borderId="0" xfId="0" applyFont="1" applyAlignment="1">
      <alignment horizontal="left" indent="2"/>
    </xf>
    <xf numFmtId="0" fontId="4" fillId="0" borderId="0" xfId="0" applyFont="1"/>
    <xf numFmtId="0" fontId="5" fillId="0" borderId="0" xfId="0" applyFont="1"/>
    <xf numFmtId="164" fontId="4" fillId="0" borderId="0" xfId="0" applyNumberFormat="1" applyFont="1"/>
    <xf numFmtId="10" fontId="4" fillId="0" borderId="0" xfId="0" applyNumberFormat="1" applyFont="1"/>
    <xf numFmtId="9" fontId="5" fillId="0" borderId="0" xfId="0" applyNumberFormat="1" applyFont="1"/>
    <xf numFmtId="6" fontId="6" fillId="0" borderId="0" xfId="0" applyNumberFormat="1" applyFont="1" applyAlignment="1">
      <alignment horizontal="right"/>
    </xf>
    <xf numFmtId="6" fontId="5" fillId="0" borderId="0" xfId="0" applyNumberFormat="1" applyFont="1"/>
    <xf numFmtId="0" fontId="8" fillId="0" borderId="0" xfId="0" applyFont="1"/>
    <xf numFmtId="0" fontId="8" fillId="0" borderId="0" xfId="0" applyFont="1" applyAlignment="1">
      <alignment horizontal="center"/>
    </xf>
    <xf numFmtId="0" fontId="9" fillId="0" borderId="1" xfId="0" applyFont="1" applyBorder="1"/>
    <xf numFmtId="0" fontId="10" fillId="0" borderId="1" xfId="0" applyFont="1" applyBorder="1"/>
    <xf numFmtId="0" fontId="4" fillId="0" borderId="2" xfId="0" applyFont="1" applyBorder="1"/>
    <xf numFmtId="0" fontId="10" fillId="0" borderId="3" xfId="0" applyFont="1" applyBorder="1" applyAlignment="1">
      <alignment horizontal="left" indent="3"/>
    </xf>
    <xf numFmtId="164" fontId="4" fillId="0" borderId="0" xfId="4" applyNumberFormat="1" applyFont="1"/>
    <xf numFmtId="0" fontId="5" fillId="0" borderId="8" xfId="0" applyFont="1" applyBorder="1"/>
    <xf numFmtId="0" fontId="5" fillId="0" borderId="6" xfId="0" applyFont="1" applyBorder="1"/>
    <xf numFmtId="10" fontId="5" fillId="0" borderId="6" xfId="0" applyNumberFormat="1" applyFont="1" applyBorder="1"/>
    <xf numFmtId="0" fontId="9" fillId="0" borderId="1" xfId="0" applyFont="1" applyBorder="1" applyAlignment="1">
      <alignment horizontal="left" indent="2"/>
    </xf>
    <xf numFmtId="167" fontId="5" fillId="0" borderId="2" xfId="0" applyNumberFormat="1" applyFont="1" applyBorder="1"/>
    <xf numFmtId="168" fontId="4" fillId="0" borderId="0" xfId="4" applyNumberFormat="1" applyFont="1"/>
    <xf numFmtId="0" fontId="10" fillId="2" borderId="2" xfId="0" applyFont="1" applyFill="1" applyBorder="1"/>
    <xf numFmtId="0" fontId="5" fillId="0" borderId="6" xfId="0" applyFont="1" applyBorder="1" applyAlignment="1">
      <alignment horizontal="left" indent="1"/>
    </xf>
    <xf numFmtId="42" fontId="5" fillId="0" borderId="6" xfId="0" applyNumberFormat="1" applyFont="1" applyBorder="1"/>
    <xf numFmtId="164" fontId="4" fillId="0" borderId="0" xfId="1" applyNumberFormat="1" applyFont="1"/>
    <xf numFmtId="41" fontId="4" fillId="0" borderId="0" xfId="0" applyNumberFormat="1" applyFont="1"/>
    <xf numFmtId="41" fontId="5" fillId="0" borderId="6" xfId="0" applyNumberFormat="1" applyFont="1" applyBorder="1"/>
    <xf numFmtId="0" fontId="14" fillId="0" borderId="0" xfId="0" applyFont="1"/>
    <xf numFmtId="42" fontId="5" fillId="0" borderId="0" xfId="0" applyNumberFormat="1" applyFont="1"/>
    <xf numFmtId="0" fontId="13" fillId="3" borderId="0" xfId="0" applyFont="1" applyFill="1" applyAlignment="1">
      <alignment vertical="center"/>
    </xf>
    <xf numFmtId="0" fontId="5" fillId="3" borderId="0" xfId="0" applyFont="1" applyFill="1" applyAlignment="1">
      <alignment vertical="center"/>
    </xf>
    <xf numFmtId="3" fontId="5" fillId="3" borderId="0" xfId="0" applyNumberFormat="1" applyFont="1" applyFill="1" applyAlignment="1">
      <alignment vertical="center"/>
    </xf>
    <xf numFmtId="164" fontId="5" fillId="3" borderId="0" xfId="4" applyNumberFormat="1" applyFont="1" applyFill="1" applyAlignment="1">
      <alignment vertical="center"/>
    </xf>
    <xf numFmtId="0" fontId="16" fillId="3" borderId="0" xfId="0" applyFont="1" applyFill="1" applyAlignment="1">
      <alignment vertical="center"/>
    </xf>
    <xf numFmtId="0" fontId="17" fillId="0" borderId="0" xfId="0" applyFont="1" applyAlignment="1">
      <alignment vertical="center"/>
    </xf>
    <xf numFmtId="0" fontId="14" fillId="3" borderId="0" xfId="0" applyFont="1" applyFill="1" applyAlignment="1">
      <alignment vertical="center"/>
    </xf>
    <xf numFmtId="0" fontId="14" fillId="3" borderId="11" xfId="0" applyFont="1" applyFill="1" applyBorder="1" applyAlignment="1">
      <alignment vertical="center"/>
    </xf>
    <xf numFmtId="0" fontId="5" fillId="3" borderId="11" xfId="0" applyFont="1" applyFill="1" applyBorder="1" applyAlignment="1">
      <alignment vertical="center"/>
    </xf>
    <xf numFmtId="164" fontId="5" fillId="3" borderId="11" xfId="4" applyNumberFormat="1" applyFont="1" applyFill="1" applyBorder="1" applyAlignment="1">
      <alignment vertical="center"/>
    </xf>
    <xf numFmtId="0" fontId="16" fillId="3" borderId="11" xfId="0" applyFont="1" applyFill="1" applyBorder="1" applyAlignment="1">
      <alignment vertical="center"/>
    </xf>
    <xf numFmtId="0" fontId="17" fillId="0" borderId="11" xfId="0" applyFont="1" applyBorder="1" applyAlignment="1">
      <alignment vertical="center"/>
    </xf>
    <xf numFmtId="0" fontId="14" fillId="3" borderId="0" xfId="0" applyFont="1" applyFill="1" applyAlignment="1">
      <alignment horizontal="left" vertical="center" indent="2"/>
    </xf>
    <xf numFmtId="41" fontId="5" fillId="3" borderId="0" xfId="0" applyNumberFormat="1" applyFont="1" applyFill="1" applyAlignment="1">
      <alignment vertical="center"/>
    </xf>
    <xf numFmtId="0" fontId="14" fillId="3" borderId="0" xfId="0" applyFont="1" applyFill="1" applyAlignment="1">
      <alignment horizontal="left" vertical="center" indent="4"/>
    </xf>
    <xf numFmtId="9" fontId="5" fillId="3" borderId="0" xfId="0" applyNumberFormat="1" applyFont="1" applyFill="1" applyAlignment="1">
      <alignment vertical="center"/>
    </xf>
    <xf numFmtId="9" fontId="5" fillId="3" borderId="0" xfId="2" applyFont="1" applyFill="1" applyAlignment="1">
      <alignment vertical="center"/>
    </xf>
    <xf numFmtId="0" fontId="14" fillId="3" borderId="5" xfId="0" applyFont="1" applyFill="1" applyBorder="1" applyAlignment="1">
      <alignment horizontal="left" vertical="center" indent="4"/>
    </xf>
    <xf numFmtId="0" fontId="5" fillId="3" borderId="5" xfId="0" applyFont="1" applyFill="1" applyBorder="1" applyAlignment="1">
      <alignment vertical="center"/>
    </xf>
    <xf numFmtId="9" fontId="5" fillId="3" borderId="5" xfId="0" applyNumberFormat="1" applyFont="1" applyFill="1" applyBorder="1" applyAlignment="1">
      <alignment vertical="center"/>
    </xf>
    <xf numFmtId="164" fontId="5" fillId="3" borderId="5" xfId="4" applyNumberFormat="1" applyFont="1" applyFill="1" applyBorder="1" applyAlignment="1">
      <alignment vertical="center"/>
    </xf>
    <xf numFmtId="0" fontId="16" fillId="3" borderId="5" xfId="0" applyFont="1" applyFill="1" applyBorder="1" applyAlignment="1">
      <alignment vertical="center"/>
    </xf>
    <xf numFmtId="0" fontId="17" fillId="0" borderId="5" xfId="0" applyFont="1" applyBorder="1" applyAlignment="1">
      <alignment vertical="center"/>
    </xf>
    <xf numFmtId="164" fontId="16" fillId="3" borderId="0" xfId="0" applyNumberFormat="1" applyFont="1" applyFill="1" applyAlignment="1">
      <alignment vertical="center"/>
    </xf>
    <xf numFmtId="1" fontId="5" fillId="3" borderId="0" xfId="0" applyNumberFormat="1" applyFont="1" applyFill="1" applyAlignment="1">
      <alignment vertical="center"/>
    </xf>
    <xf numFmtId="0" fontId="14" fillId="0" borderId="0" xfId="0" applyFont="1" applyAlignment="1">
      <alignment vertical="center"/>
    </xf>
    <xf numFmtId="0" fontId="5" fillId="0" borderId="0" xfId="0" applyFont="1" applyAlignment="1">
      <alignment vertical="center"/>
    </xf>
    <xf numFmtId="164" fontId="5" fillId="0" borderId="0" xfId="0" applyNumberFormat="1" applyFont="1" applyAlignment="1">
      <alignment vertical="center"/>
    </xf>
    <xf numFmtId="0" fontId="16" fillId="0" borderId="0" xfId="0" applyFont="1" applyAlignment="1">
      <alignment vertical="center"/>
    </xf>
    <xf numFmtId="41" fontId="16" fillId="3" borderId="0" xfId="0" applyNumberFormat="1" applyFont="1" applyFill="1" applyAlignment="1">
      <alignment vertical="center"/>
    </xf>
    <xf numFmtId="164" fontId="16" fillId="3" borderId="0" xfId="4" applyNumberFormat="1" applyFont="1" applyFill="1" applyAlignment="1">
      <alignment vertical="center"/>
    </xf>
    <xf numFmtId="9" fontId="16" fillId="3" borderId="0" xfId="0" applyNumberFormat="1" applyFont="1" applyFill="1" applyAlignment="1">
      <alignment vertical="center"/>
    </xf>
    <xf numFmtId="9" fontId="16" fillId="3" borderId="5" xfId="0" applyNumberFormat="1" applyFont="1" applyFill="1" applyBorder="1" applyAlignment="1">
      <alignment vertical="center"/>
    </xf>
    <xf numFmtId="165" fontId="5" fillId="3" borderId="0" xfId="0" applyNumberFormat="1" applyFont="1" applyFill="1" applyAlignment="1">
      <alignment vertical="center"/>
    </xf>
    <xf numFmtId="0" fontId="4" fillId="0" borderId="0" xfId="5" applyFont="1"/>
    <xf numFmtId="10" fontId="5" fillId="0" borderId="0" xfId="0" applyNumberFormat="1" applyFont="1"/>
    <xf numFmtId="0" fontId="18" fillId="5" borderId="12" xfId="0" applyFont="1" applyFill="1" applyBorder="1" applyAlignment="1">
      <alignment horizontal="center" vertical="center" wrapText="1"/>
    </xf>
    <xf numFmtId="0" fontId="19" fillId="6" borderId="14" xfId="0" applyFont="1" applyFill="1" applyBorder="1" applyAlignment="1">
      <alignment vertical="center" wrapText="1"/>
    </xf>
    <xf numFmtId="0" fontId="15" fillId="6" borderId="12" xfId="0" applyFont="1" applyFill="1" applyBorder="1" applyAlignment="1">
      <alignment horizontal="center" vertical="center" wrapText="1"/>
    </xf>
    <xf numFmtId="4" fontId="5" fillId="0" borderId="0" xfId="0" applyNumberFormat="1" applyFont="1"/>
    <xf numFmtId="0" fontId="15" fillId="0" borderId="14" xfId="0" applyFont="1" applyBorder="1" applyAlignment="1">
      <alignment vertical="center" wrapText="1"/>
    </xf>
    <xf numFmtId="3" fontId="15" fillId="0" borderId="12" xfId="0" applyNumberFormat="1" applyFont="1" applyBorder="1" applyAlignment="1">
      <alignment horizontal="right" vertical="center" wrapText="1"/>
    </xf>
    <xf numFmtId="0" fontId="0" fillId="0" borderId="0" xfId="0" applyAlignment="1">
      <alignment readingOrder="1"/>
    </xf>
    <xf numFmtId="0" fontId="15" fillId="0" borderId="15" xfId="0" applyFont="1" applyBorder="1" applyAlignment="1">
      <alignment vertical="center" wrapText="1"/>
    </xf>
    <xf numFmtId="0" fontId="7" fillId="0" borderId="14" xfId="3" applyBorder="1" applyAlignment="1">
      <alignment vertical="center" wrapText="1"/>
    </xf>
    <xf numFmtId="3" fontId="21" fillId="0" borderId="0" xfId="0" applyNumberFormat="1" applyFont="1"/>
    <xf numFmtId="3" fontId="5" fillId="0" borderId="0" xfId="0" applyNumberFormat="1" applyFont="1"/>
    <xf numFmtId="0" fontId="22" fillId="0" borderId="0" xfId="0" applyFont="1"/>
    <xf numFmtId="0" fontId="5" fillId="0" borderId="9" xfId="0" applyFont="1" applyBorder="1"/>
    <xf numFmtId="0" fontId="7" fillId="0" borderId="0" xfId="3" applyAlignment="1">
      <alignment horizontal="justify" vertical="center"/>
    </xf>
    <xf numFmtId="0" fontId="5" fillId="0" borderId="4" xfId="0" applyFont="1" applyBorder="1"/>
    <xf numFmtId="0" fontId="5" fillId="7" borderId="4" xfId="0" applyFont="1" applyFill="1" applyBorder="1"/>
    <xf numFmtId="165" fontId="5" fillId="0" borderId="4" xfId="0" applyNumberFormat="1" applyFont="1" applyBorder="1"/>
    <xf numFmtId="4" fontId="4" fillId="0" borderId="0" xfId="0" applyNumberFormat="1" applyFont="1"/>
    <xf numFmtId="164" fontId="5" fillId="0" borderId="4" xfId="0" applyNumberFormat="1" applyFont="1" applyBorder="1"/>
    <xf numFmtId="165" fontId="5" fillId="0" borderId="0" xfId="0" applyNumberFormat="1" applyFont="1"/>
    <xf numFmtId="9" fontId="5" fillId="0" borderId="0" xfId="6" applyFont="1"/>
    <xf numFmtId="164" fontId="23" fillId="0" borderId="4" xfId="0" applyNumberFormat="1" applyFont="1" applyBorder="1"/>
    <xf numFmtId="0" fontId="24" fillId="0" borderId="0" xfId="0" applyFont="1"/>
    <xf numFmtId="165" fontId="16" fillId="0" borderId="4" xfId="7" applyNumberFormat="1" applyFont="1" applyBorder="1"/>
    <xf numFmtId="3" fontId="4" fillId="0" borderId="0" xfId="0" applyNumberFormat="1" applyFont="1"/>
    <xf numFmtId="165" fontId="16" fillId="8" borderId="4" xfId="7" applyNumberFormat="1" applyFont="1" applyFill="1" applyBorder="1"/>
    <xf numFmtId="43" fontId="24" fillId="0" borderId="0" xfId="4" applyFont="1"/>
    <xf numFmtId="164" fontId="5" fillId="0" borderId="4" xfId="4" applyNumberFormat="1" applyFont="1" applyBorder="1"/>
    <xf numFmtId="164" fontId="23" fillId="0" borderId="4" xfId="4" applyNumberFormat="1" applyFont="1" applyBorder="1"/>
    <xf numFmtId="165" fontId="16" fillId="0" borderId="7" xfId="7" applyNumberFormat="1" applyFont="1" applyBorder="1"/>
    <xf numFmtId="0" fontId="15" fillId="0" borderId="12" xfId="0" applyFont="1" applyBorder="1" applyAlignment="1">
      <alignment horizontal="right" vertical="center" wrapText="1"/>
    </xf>
    <xf numFmtId="0" fontId="16" fillId="3" borderId="0" xfId="0" applyFont="1" applyFill="1" applyAlignment="1">
      <alignment horizontal="center" vertical="center"/>
    </xf>
    <xf numFmtId="164" fontId="16" fillId="9" borderId="0" xfId="4" applyNumberFormat="1" applyFont="1" applyFill="1" applyAlignment="1">
      <alignment vertical="center"/>
    </xf>
    <xf numFmtId="0" fontId="4" fillId="4" borderId="0" xfId="0" applyFont="1" applyFill="1"/>
    <xf numFmtId="0" fontId="2" fillId="4" borderId="0" xfId="0" applyFont="1" applyFill="1"/>
    <xf numFmtId="164" fontId="4" fillId="4" borderId="0" xfId="0" applyNumberFormat="1" applyFont="1" applyFill="1"/>
    <xf numFmtId="0" fontId="8" fillId="4" borderId="0" xfId="0" applyFont="1" applyFill="1"/>
    <xf numFmtId="0" fontId="5" fillId="4" borderId="6" xfId="0" applyFont="1" applyFill="1" applyBorder="1"/>
    <xf numFmtId="0" fontId="5" fillId="4" borderId="0" xfId="0" applyFont="1" applyFill="1"/>
    <xf numFmtId="9" fontId="4" fillId="0" borderId="0" xfId="2" applyFont="1"/>
    <xf numFmtId="164" fontId="26" fillId="0" borderId="0" xfId="1" applyNumberFormat="1" applyFont="1" applyAlignment="1">
      <alignment horizontal="center" vertical="center"/>
    </xf>
    <xf numFmtId="164" fontId="26" fillId="0" borderId="0" xfId="1" applyNumberFormat="1" applyFont="1" applyAlignment="1">
      <alignment horizontal="right" vertical="center"/>
    </xf>
    <xf numFmtId="9" fontId="5" fillId="9" borderId="0" xfId="0" applyNumberFormat="1" applyFont="1" applyFill="1" applyAlignment="1">
      <alignment vertical="center"/>
    </xf>
    <xf numFmtId="9" fontId="16" fillId="9" borderId="5" xfId="0" applyNumberFormat="1" applyFont="1" applyFill="1" applyBorder="1" applyAlignment="1">
      <alignment vertical="center"/>
    </xf>
    <xf numFmtId="0" fontId="10" fillId="0" borderId="0" xfId="0" applyFont="1" applyAlignment="1">
      <alignment vertical="center" wrapText="1"/>
    </xf>
    <xf numFmtId="0" fontId="10" fillId="6" borderId="18" xfId="0" applyFont="1" applyFill="1" applyBorder="1" applyAlignment="1">
      <alignment horizontal="center" vertical="center" wrapText="1"/>
    </xf>
    <xf numFmtId="0" fontId="19" fillId="6" borderId="0" xfId="0" applyFont="1" applyFill="1" applyAlignment="1">
      <alignment horizontal="center" vertical="center" wrapText="1"/>
    </xf>
    <xf numFmtId="0" fontId="19" fillId="6" borderId="16" xfId="0" applyFont="1" applyFill="1" applyBorder="1" applyAlignment="1">
      <alignment horizontal="center" vertical="center" wrapText="1"/>
    </xf>
    <xf numFmtId="0" fontId="15" fillId="0" borderId="12" xfId="0" applyFont="1" applyBorder="1" applyAlignment="1">
      <alignment horizontal="center" vertical="center" wrapText="1"/>
    </xf>
    <xf numFmtId="6" fontId="15" fillId="0" borderId="16" xfId="0" applyNumberFormat="1" applyFont="1" applyBorder="1" applyAlignment="1">
      <alignment horizontal="right" vertical="center" wrapText="1"/>
    </xf>
    <xf numFmtId="6" fontId="15" fillId="0" borderId="12" xfId="0" applyNumberFormat="1" applyFont="1" applyBorder="1" applyAlignment="1">
      <alignment horizontal="right" vertical="center" wrapText="1"/>
    </xf>
    <xf numFmtId="3" fontId="15" fillId="0" borderId="16" xfId="0" applyNumberFormat="1" applyFont="1" applyBorder="1" applyAlignment="1">
      <alignment horizontal="right" vertical="center" wrapText="1"/>
    </xf>
    <xf numFmtId="0" fontId="15" fillId="0" borderId="16" xfId="0" applyFont="1" applyBorder="1" applyAlignment="1">
      <alignment horizontal="right" vertical="center" wrapText="1"/>
    </xf>
    <xf numFmtId="0" fontId="19" fillId="6" borderId="19" xfId="0" applyFont="1" applyFill="1" applyBorder="1" applyAlignment="1">
      <alignment horizontal="center" vertical="center" wrapText="1"/>
    </xf>
    <xf numFmtId="0" fontId="19" fillId="6" borderId="17" xfId="0" applyFont="1" applyFill="1" applyBorder="1" applyAlignment="1">
      <alignment horizontal="center" vertical="center" wrapText="1"/>
    </xf>
    <xf numFmtId="0" fontId="15" fillId="10" borderId="12" xfId="0" applyFont="1" applyFill="1" applyBorder="1" applyAlignment="1">
      <alignment horizontal="center" vertical="center" wrapText="1"/>
    </xf>
    <xf numFmtId="0" fontId="15" fillId="10" borderId="12" xfId="0" applyFont="1" applyFill="1" applyBorder="1" applyAlignment="1">
      <alignment horizontal="right" vertical="center" wrapText="1"/>
    </xf>
    <xf numFmtId="6" fontId="20" fillId="0" borderId="18" xfId="0" applyNumberFormat="1" applyFont="1" applyBorder="1" applyAlignment="1">
      <alignment horizontal="right" vertical="center" wrapText="1"/>
    </xf>
    <xf numFmtId="3" fontId="20" fillId="0" borderId="16" xfId="0" applyNumberFormat="1" applyFont="1" applyBorder="1" applyAlignment="1">
      <alignment horizontal="right" vertical="center" wrapText="1"/>
    </xf>
    <xf numFmtId="0" fontId="18" fillId="5" borderId="0" xfId="0" applyFont="1" applyFill="1" applyAlignment="1">
      <alignment horizontal="center" vertical="center" wrapText="1"/>
    </xf>
    <xf numFmtId="164" fontId="4" fillId="11" borderId="0" xfId="1" applyNumberFormat="1" applyFont="1" applyFill="1"/>
    <xf numFmtId="6" fontId="15" fillId="9" borderId="14" xfId="0" applyNumberFormat="1" applyFont="1" applyFill="1" applyBorder="1" applyAlignment="1">
      <alignment horizontal="right" vertical="center" wrapText="1"/>
    </xf>
    <xf numFmtId="3" fontId="15" fillId="9" borderId="14" xfId="0" applyNumberFormat="1" applyFont="1" applyFill="1" applyBorder="1" applyAlignment="1">
      <alignment horizontal="right" vertical="center" wrapText="1"/>
    </xf>
    <xf numFmtId="3" fontId="15" fillId="9" borderId="15" xfId="0" applyNumberFormat="1" applyFont="1" applyFill="1" applyBorder="1" applyAlignment="1">
      <alignment horizontal="right" vertical="center" wrapText="1"/>
    </xf>
    <xf numFmtId="6" fontId="20" fillId="9" borderId="14" xfId="0" applyNumberFormat="1" applyFont="1" applyFill="1" applyBorder="1" applyAlignment="1">
      <alignment horizontal="right" vertical="center" wrapText="1"/>
    </xf>
    <xf numFmtId="0" fontId="15" fillId="9" borderId="12" xfId="0" applyFont="1" applyFill="1" applyBorder="1" applyAlignment="1">
      <alignment horizontal="center" vertical="center" wrapText="1"/>
    </xf>
    <xf numFmtId="0" fontId="0" fillId="0" borderId="5" xfId="0" applyBorder="1"/>
    <xf numFmtId="0" fontId="0" fillId="0" borderId="20" xfId="0" applyBorder="1"/>
    <xf numFmtId="0" fontId="0" fillId="0" borderId="21" xfId="0" applyBorder="1"/>
    <xf numFmtId="9" fontId="0" fillId="0" borderId="0" xfId="2" applyFont="1"/>
    <xf numFmtId="9" fontId="0" fillId="0" borderId="20" xfId="2" applyFont="1" applyBorder="1"/>
    <xf numFmtId="0" fontId="30" fillId="0" borderId="0" xfId="0" applyFont="1"/>
    <xf numFmtId="44" fontId="4" fillId="0" borderId="0" xfId="0" applyNumberFormat="1" applyFont="1"/>
    <xf numFmtId="43" fontId="4" fillId="0" borderId="0" xfId="0" applyNumberFormat="1" applyFont="1"/>
    <xf numFmtId="164" fontId="17" fillId="0" borderId="0" xfId="0" applyNumberFormat="1" applyFont="1" applyAlignment="1">
      <alignment vertical="center"/>
    </xf>
    <xf numFmtId="169" fontId="0" fillId="0" borderId="0" xfId="2" applyNumberFormat="1" applyFont="1"/>
    <xf numFmtId="0" fontId="33" fillId="0" borderId="0" xfId="0" applyFont="1" applyAlignment="1">
      <alignment horizontal="center"/>
    </xf>
    <xf numFmtId="0" fontId="0" fillId="0" borderId="0" xfId="0" applyAlignment="1">
      <alignment horizontal="center"/>
    </xf>
    <xf numFmtId="0" fontId="34" fillId="2" borderId="22" xfId="0" applyFont="1" applyFill="1" applyBorder="1" applyAlignment="1">
      <alignment horizontal="center"/>
    </xf>
    <xf numFmtId="0" fontId="34" fillId="2" borderId="23" xfId="0" applyFont="1" applyFill="1" applyBorder="1" applyAlignment="1">
      <alignment horizontal="center"/>
    </xf>
    <xf numFmtId="0" fontId="34" fillId="2" borderId="10" xfId="0" applyFont="1" applyFill="1" applyBorder="1" applyAlignment="1">
      <alignment horizontal="center"/>
    </xf>
    <xf numFmtId="0" fontId="34" fillId="2" borderId="26" xfId="0" applyFont="1" applyFill="1" applyBorder="1" applyAlignment="1">
      <alignment horizontal="center"/>
    </xf>
    <xf numFmtId="0" fontId="34" fillId="0" borderId="0" xfId="0" applyFont="1"/>
    <xf numFmtId="0" fontId="34" fillId="0" borderId="0" xfId="0" applyFont="1" applyAlignment="1">
      <alignment horizontal="right"/>
    </xf>
    <xf numFmtId="0" fontId="34" fillId="2" borderId="28" xfId="0" applyFont="1" applyFill="1" applyBorder="1" applyAlignment="1">
      <alignment horizontal="center"/>
    </xf>
    <xf numFmtId="0" fontId="34" fillId="2" borderId="27" xfId="0" applyFont="1" applyFill="1" applyBorder="1" applyAlignment="1">
      <alignment horizontal="center"/>
    </xf>
    <xf numFmtId="0" fontId="35" fillId="12" borderId="29" xfId="0" applyFont="1" applyFill="1" applyBorder="1" applyAlignment="1">
      <alignment horizontal="left"/>
    </xf>
    <xf numFmtId="0" fontId="34" fillId="2" borderId="31" xfId="0" applyFont="1" applyFill="1" applyBorder="1" applyAlignment="1">
      <alignment horizontal="center"/>
    </xf>
    <xf numFmtId="0" fontId="34" fillId="2" borderId="32" xfId="0" applyFont="1" applyFill="1" applyBorder="1" applyAlignment="1">
      <alignment horizontal="center"/>
    </xf>
    <xf numFmtId="0" fontId="34" fillId="2" borderId="33" xfId="0" applyFont="1" applyFill="1" applyBorder="1" applyAlignment="1">
      <alignment horizontal="center"/>
    </xf>
    <xf numFmtId="0" fontId="35" fillId="13" borderId="28" xfId="0" applyFont="1" applyFill="1" applyBorder="1"/>
    <xf numFmtId="0" fontId="35" fillId="13" borderId="10" xfId="0" applyFont="1" applyFill="1" applyBorder="1"/>
    <xf numFmtId="0" fontId="34" fillId="0" borderId="34" xfId="0" applyFont="1" applyBorder="1" applyAlignment="1">
      <alignment horizontal="left" indent="1"/>
    </xf>
    <xf numFmtId="42" fontId="34" fillId="0" borderId="35" xfId="0" applyNumberFormat="1" applyFont="1" applyBorder="1"/>
    <xf numFmtId="42" fontId="34" fillId="0" borderId="11" xfId="0" applyNumberFormat="1" applyFont="1" applyBorder="1"/>
    <xf numFmtId="164" fontId="5" fillId="0" borderId="0" xfId="1" applyNumberFormat="1" applyFont="1" applyFill="1" applyBorder="1" applyAlignment="1">
      <alignment vertical="center"/>
    </xf>
    <xf numFmtId="41" fontId="34" fillId="0" borderId="34" xfId="0" applyNumberFormat="1" applyFont="1" applyBorder="1"/>
    <xf numFmtId="41" fontId="34" fillId="0" borderId="0" xfId="0" applyNumberFormat="1" applyFont="1"/>
    <xf numFmtId="41" fontId="34" fillId="0" borderId="37" xfId="0" applyNumberFormat="1" applyFont="1" applyBorder="1"/>
    <xf numFmtId="0" fontId="35" fillId="12" borderId="38" xfId="0" applyFont="1" applyFill="1" applyBorder="1" applyAlignment="1">
      <alignment horizontal="left"/>
    </xf>
    <xf numFmtId="42" fontId="35" fillId="12" borderId="38" xfId="0" applyNumberFormat="1" applyFont="1" applyFill="1" applyBorder="1"/>
    <xf numFmtId="164" fontId="11" fillId="0" borderId="0" xfId="4" applyNumberFormat="1" applyFont="1" applyFill="1" applyBorder="1" applyAlignment="1">
      <alignment vertical="center"/>
    </xf>
    <xf numFmtId="0" fontId="11" fillId="0" borderId="0" xfId="0" applyFont="1" applyAlignment="1">
      <alignment vertical="center"/>
    </xf>
    <xf numFmtId="0" fontId="34" fillId="0" borderId="34" xfId="0" applyFont="1" applyBorder="1" applyAlignment="1">
      <alignment horizontal="left" indent="3"/>
    </xf>
    <xf numFmtId="0" fontId="35" fillId="12" borderId="31" xfId="0" applyFont="1" applyFill="1" applyBorder="1" applyAlignment="1">
      <alignment horizontal="left" indent="1"/>
    </xf>
    <xf numFmtId="166" fontId="35" fillId="12" borderId="39" xfId="0" applyNumberFormat="1" applyFont="1" applyFill="1" applyBorder="1"/>
    <xf numFmtId="0" fontId="34" fillId="0" borderId="40" xfId="0" applyFont="1" applyBorder="1" applyAlignment="1">
      <alignment horizontal="left" indent="1"/>
    </xf>
    <xf numFmtId="9" fontId="37" fillId="4" borderId="35" xfId="0" applyNumberFormat="1" applyFont="1" applyFill="1" applyBorder="1"/>
    <xf numFmtId="9" fontId="37" fillId="4" borderId="11" xfId="0" applyNumberFormat="1" applyFont="1" applyFill="1" applyBorder="1"/>
    <xf numFmtId="9" fontId="37" fillId="4" borderId="34" xfId="0" applyNumberFormat="1" applyFont="1" applyFill="1" applyBorder="1"/>
    <xf numFmtId="9" fontId="37" fillId="4" borderId="0" xfId="0" applyNumberFormat="1" applyFont="1" applyFill="1"/>
    <xf numFmtId="9" fontId="37" fillId="4" borderId="36" xfId="0" applyNumberFormat="1" applyFont="1" applyFill="1" applyBorder="1"/>
    <xf numFmtId="9" fontId="37" fillId="4" borderId="37" xfId="0" applyNumberFormat="1" applyFont="1" applyFill="1" applyBorder="1"/>
    <xf numFmtId="41" fontId="34" fillId="0" borderId="40" xfId="0" applyNumberFormat="1" applyFont="1" applyBorder="1"/>
    <xf numFmtId="0" fontId="34" fillId="0" borderId="41" xfId="0" applyFont="1" applyBorder="1" applyAlignment="1">
      <alignment horizontal="left" indent="1"/>
    </xf>
    <xf numFmtId="0" fontId="35" fillId="12" borderId="42" xfId="0" applyFont="1" applyFill="1" applyBorder="1" applyAlignment="1">
      <alignment horizontal="left"/>
    </xf>
    <xf numFmtId="42" fontId="35" fillId="12" borderId="39" xfId="0" applyNumberFormat="1" applyFont="1" applyFill="1" applyBorder="1"/>
    <xf numFmtId="42" fontId="36" fillId="0" borderId="31" xfId="0" applyNumberFormat="1" applyFont="1" applyBorder="1"/>
    <xf numFmtId="41" fontId="36" fillId="0" borderId="32" xfId="0" applyNumberFormat="1" applyFont="1" applyBorder="1"/>
    <xf numFmtId="41" fontId="36" fillId="0" borderId="43" xfId="0" applyNumberFormat="1" applyFont="1" applyBorder="1"/>
    <xf numFmtId="0" fontId="16" fillId="0" borderId="44" xfId="0" applyFont="1" applyBorder="1"/>
    <xf numFmtId="166" fontId="36" fillId="0" borderId="31" xfId="0" applyNumberFormat="1" applyFont="1" applyBorder="1"/>
    <xf numFmtId="166" fontId="36" fillId="0" borderId="32" xfId="0" applyNumberFormat="1" applyFont="1" applyBorder="1"/>
    <xf numFmtId="167" fontId="16" fillId="0" borderId="45" xfId="0" applyNumberFormat="1" applyFont="1" applyBorder="1"/>
    <xf numFmtId="0" fontId="16" fillId="0" borderId="32" xfId="0" applyFont="1" applyBorder="1"/>
    <xf numFmtId="9" fontId="38" fillId="4" borderId="31" xfId="0" applyNumberFormat="1" applyFont="1" applyFill="1" applyBorder="1"/>
    <xf numFmtId="9" fontId="38" fillId="4" borderId="32" xfId="0" applyNumberFormat="1" applyFont="1" applyFill="1" applyBorder="1"/>
    <xf numFmtId="9" fontId="38" fillId="4" borderId="43" xfId="0" applyNumberFormat="1" applyFont="1" applyFill="1" applyBorder="1"/>
    <xf numFmtId="0" fontId="9" fillId="2" borderId="45" xfId="0" applyFont="1" applyFill="1" applyBorder="1"/>
    <xf numFmtId="42" fontId="34" fillId="0" borderId="31" xfId="0" applyNumberFormat="1" applyFont="1" applyBorder="1"/>
    <xf numFmtId="41" fontId="34" fillId="0" borderId="32" xfId="0" applyNumberFormat="1" applyFont="1" applyBorder="1"/>
    <xf numFmtId="41" fontId="34" fillId="0" borderId="43" xfId="0" applyNumberFormat="1" applyFont="1" applyBorder="1"/>
    <xf numFmtId="9" fontId="37" fillId="4" borderId="31" xfId="0" applyNumberFormat="1" applyFont="1" applyFill="1" applyBorder="1"/>
    <xf numFmtId="9" fontId="37" fillId="4" borderId="32" xfId="0" applyNumberFormat="1" applyFont="1" applyFill="1" applyBorder="1"/>
    <xf numFmtId="9" fontId="37" fillId="4" borderId="43" xfId="0" applyNumberFormat="1" applyFont="1" applyFill="1" applyBorder="1"/>
    <xf numFmtId="41" fontId="34" fillId="0" borderId="46" xfId="0" applyNumberFormat="1" applyFont="1" applyBorder="1"/>
    <xf numFmtId="0" fontId="25" fillId="4" borderId="0" xfId="0" applyFont="1" applyFill="1" applyAlignment="1">
      <alignment horizontal="center"/>
    </xf>
    <xf numFmtId="0" fontId="3" fillId="4" borderId="0" xfId="0" applyFont="1" applyFill="1" applyAlignment="1">
      <alignment horizontal="center"/>
    </xf>
    <xf numFmtId="0" fontId="25" fillId="4" borderId="0" xfId="0" applyFont="1" applyFill="1" applyAlignment="1">
      <alignment horizontal="left"/>
    </xf>
    <xf numFmtId="0" fontId="35" fillId="13" borderId="22" xfId="0" applyFont="1" applyFill="1" applyBorder="1"/>
    <xf numFmtId="0" fontId="35" fillId="12" borderId="47" xfId="0" applyFont="1" applyFill="1" applyBorder="1" applyAlignment="1">
      <alignment horizontal="left" indent="1"/>
    </xf>
    <xf numFmtId="0" fontId="35" fillId="12" borderId="50" xfId="0" applyFont="1" applyFill="1" applyBorder="1" applyAlignment="1">
      <alignment horizontal="left"/>
    </xf>
    <xf numFmtId="0" fontId="35" fillId="13" borderId="50" xfId="0" applyFont="1" applyFill="1" applyBorder="1"/>
    <xf numFmtId="0" fontId="35" fillId="13" borderId="25" xfId="0" applyFont="1" applyFill="1" applyBorder="1" applyAlignment="1">
      <alignment horizontal="center"/>
    </xf>
    <xf numFmtId="0" fontId="18" fillId="5" borderId="13" xfId="0" applyFont="1" applyFill="1" applyBorder="1" applyAlignment="1">
      <alignment horizontal="center" vertical="center" wrapText="1"/>
    </xf>
    <xf numFmtId="0" fontId="0" fillId="0" borderId="0" xfId="0" applyAlignment="1">
      <alignment horizontal="left"/>
    </xf>
    <xf numFmtId="0" fontId="40" fillId="0" borderId="0" xfId="0" applyFont="1"/>
    <xf numFmtId="0" fontId="35" fillId="13" borderId="5" xfId="0" applyFont="1" applyFill="1" applyBorder="1"/>
    <xf numFmtId="0" fontId="5" fillId="7" borderId="0" xfId="0" applyFont="1" applyFill="1"/>
    <xf numFmtId="164" fontId="5" fillId="0" borderId="0" xfId="0" applyNumberFormat="1" applyFont="1"/>
    <xf numFmtId="164" fontId="23" fillId="0" borderId="0" xfId="0" applyNumberFormat="1" applyFont="1"/>
    <xf numFmtId="165" fontId="16" fillId="0" borderId="0" xfId="7" applyNumberFormat="1" applyFont="1" applyBorder="1"/>
    <xf numFmtId="165" fontId="16" fillId="8" borderId="0" xfId="7" applyNumberFormat="1" applyFont="1" applyFill="1" applyBorder="1"/>
    <xf numFmtId="164" fontId="5" fillId="0" borderId="0" xfId="4" applyNumberFormat="1" applyFont="1" applyBorder="1"/>
    <xf numFmtId="164" fontId="23" fillId="0" borderId="0" xfId="4" applyNumberFormat="1" applyFont="1" applyBorder="1"/>
    <xf numFmtId="42" fontId="35" fillId="12" borderId="51" xfId="0" applyNumberFormat="1" applyFont="1" applyFill="1" applyBorder="1"/>
    <xf numFmtId="41" fontId="34" fillId="0" borderId="48" xfId="0" applyNumberFormat="1" applyFont="1" applyBorder="1"/>
    <xf numFmtId="42" fontId="34" fillId="0" borderId="47" xfId="0" applyNumberFormat="1" applyFont="1" applyBorder="1"/>
    <xf numFmtId="166" fontId="35" fillId="12" borderId="38" xfId="0" applyNumberFormat="1" applyFont="1" applyFill="1" applyBorder="1"/>
    <xf numFmtId="42" fontId="35" fillId="12" borderId="30" xfId="0" applyNumberFormat="1" applyFont="1" applyFill="1" applyBorder="1"/>
    <xf numFmtId="41" fontId="34" fillId="0" borderId="5" xfId="0" applyNumberFormat="1" applyFont="1" applyBorder="1"/>
    <xf numFmtId="41" fontId="34" fillId="9" borderId="0" xfId="0" applyNumberFormat="1" applyFont="1" applyFill="1"/>
    <xf numFmtId="41" fontId="36" fillId="0" borderId="46" xfId="0" applyNumberFormat="1" applyFont="1" applyBorder="1"/>
    <xf numFmtId="166" fontId="37" fillId="4" borderId="11" xfId="0" applyNumberFormat="1" applyFont="1" applyFill="1" applyBorder="1"/>
    <xf numFmtId="166" fontId="37" fillId="4" borderId="0" xfId="0" applyNumberFormat="1" applyFont="1" applyFill="1"/>
    <xf numFmtId="166" fontId="37" fillId="4" borderId="37" xfId="0" applyNumberFormat="1" applyFont="1" applyFill="1" applyBorder="1"/>
    <xf numFmtId="41" fontId="34" fillId="0" borderId="49" xfId="0" applyNumberFormat="1" applyFont="1" applyBorder="1"/>
    <xf numFmtId="0" fontId="40" fillId="9" borderId="0" xfId="0" applyFont="1" applyFill="1"/>
    <xf numFmtId="3" fontId="0" fillId="0" borderId="0" xfId="0" applyNumberFormat="1"/>
    <xf numFmtId="0" fontId="0" fillId="9" borderId="0" xfId="0" applyFill="1"/>
    <xf numFmtId="0" fontId="34" fillId="9" borderId="34" xfId="0" applyFont="1" applyFill="1" applyBorder="1" applyAlignment="1">
      <alignment horizontal="left" indent="1"/>
    </xf>
    <xf numFmtId="41" fontId="36" fillId="9" borderId="32" xfId="0" applyNumberFormat="1" applyFont="1" applyFill="1" applyBorder="1"/>
    <xf numFmtId="0" fontId="5" fillId="0" borderId="34" xfId="0" applyFont="1" applyBorder="1" applyAlignment="1">
      <alignment horizontal="left" indent="1"/>
    </xf>
    <xf numFmtId="9" fontId="0" fillId="0" borderId="0" xfId="0" applyNumberFormat="1"/>
    <xf numFmtId="42" fontId="0" fillId="0" borderId="0" xfId="0" applyNumberFormat="1"/>
    <xf numFmtId="0" fontId="5" fillId="0" borderId="52" xfId="0" applyFont="1" applyBorder="1"/>
    <xf numFmtId="0" fontId="5" fillId="4" borderId="53" xfId="0" applyFont="1" applyFill="1" applyBorder="1" applyAlignment="1">
      <alignment horizontal="left" indent="1"/>
    </xf>
    <xf numFmtId="0" fontId="27" fillId="0" borderId="0" xfId="0" applyFont="1"/>
    <xf numFmtId="0" fontId="28" fillId="0" borderId="0" xfId="0" applyFont="1"/>
    <xf numFmtId="0" fontId="37" fillId="4" borderId="11" xfId="0" applyFont="1" applyFill="1" applyBorder="1"/>
    <xf numFmtId="0" fontId="37" fillId="4" borderId="0" xfId="0" applyFont="1" applyFill="1"/>
    <xf numFmtId="0" fontId="37" fillId="4" borderId="37" xfId="0" applyFont="1" applyFill="1" applyBorder="1"/>
    <xf numFmtId="0" fontId="35" fillId="12" borderId="30" xfId="0" applyFont="1" applyFill="1" applyBorder="1"/>
    <xf numFmtId="0" fontId="35" fillId="12" borderId="54" xfId="0" applyFont="1" applyFill="1" applyBorder="1" applyAlignment="1">
      <alignment horizontal="left"/>
    </xf>
    <xf numFmtId="0" fontId="8" fillId="0" borderId="32" xfId="0" applyFont="1" applyBorder="1" applyAlignment="1">
      <alignment horizontal="center"/>
    </xf>
    <xf numFmtId="0" fontId="10" fillId="0" borderId="55" xfId="0" applyFont="1" applyBorder="1"/>
    <xf numFmtId="10" fontId="5" fillId="0" borderId="44" xfId="0" applyNumberFormat="1" applyFont="1" applyBorder="1"/>
    <xf numFmtId="0" fontId="35" fillId="12" borderId="39" xfId="0" applyFont="1" applyFill="1" applyBorder="1"/>
    <xf numFmtId="167" fontId="5" fillId="0" borderId="45" xfId="0" applyNumberFormat="1" applyFont="1" applyBorder="1"/>
    <xf numFmtId="0" fontId="5" fillId="0" borderId="32" xfId="0" applyFont="1" applyBorder="1"/>
    <xf numFmtId="42" fontId="5" fillId="0" borderId="44" xfId="0" applyNumberFormat="1" applyFont="1" applyBorder="1"/>
    <xf numFmtId="42" fontId="5" fillId="0" borderId="32" xfId="0" applyNumberFormat="1" applyFont="1" applyBorder="1"/>
    <xf numFmtId="0" fontId="10" fillId="2" borderId="45" xfId="0" applyFont="1" applyFill="1" applyBorder="1"/>
    <xf numFmtId="41" fontId="34" fillId="9" borderId="32" xfId="0" applyNumberFormat="1" applyFont="1" applyFill="1" applyBorder="1"/>
    <xf numFmtId="41" fontId="5" fillId="0" borderId="44" xfId="0" applyNumberFormat="1" applyFont="1" applyBorder="1"/>
    <xf numFmtId="0" fontId="37" fillId="4" borderId="31" xfId="0" applyFont="1" applyFill="1" applyBorder="1"/>
    <xf numFmtId="0" fontId="37" fillId="4" borderId="32" xfId="0" applyFont="1" applyFill="1" applyBorder="1"/>
    <xf numFmtId="0" fontId="37" fillId="4" borderId="43" xfId="0" applyFont="1" applyFill="1" applyBorder="1"/>
    <xf numFmtId="0" fontId="43" fillId="13" borderId="28" xfId="0" applyFont="1" applyFill="1" applyBorder="1" applyAlignment="1">
      <alignment horizontal="center" vertical="center" wrapText="1"/>
    </xf>
    <xf numFmtId="0" fontId="44" fillId="13" borderId="28" xfId="0" applyFont="1" applyFill="1" applyBorder="1"/>
    <xf numFmtId="0" fontId="45" fillId="12" borderId="28" xfId="0" applyFont="1" applyFill="1" applyBorder="1" applyAlignment="1">
      <alignment vertical="center" wrapText="1"/>
    </xf>
    <xf numFmtId="0" fontId="46" fillId="12" borderId="28" xfId="0" applyFont="1" applyFill="1" applyBorder="1"/>
    <xf numFmtId="0" fontId="45" fillId="12" borderId="28" xfId="0" applyFont="1" applyFill="1" applyBorder="1" applyAlignment="1">
      <alignment horizontal="center" vertical="center" wrapText="1"/>
    </xf>
    <xf numFmtId="0" fontId="47" fillId="0" borderId="28" xfId="0" applyFont="1" applyBorder="1" applyAlignment="1">
      <alignment vertical="center" wrapText="1"/>
    </xf>
    <xf numFmtId="0" fontId="47" fillId="0" borderId="28" xfId="0" applyFont="1" applyBorder="1"/>
    <xf numFmtId="164" fontId="47" fillId="0" borderId="28" xfId="0" applyNumberFormat="1" applyFont="1" applyBorder="1" applyAlignment="1">
      <alignment horizontal="right" vertical="center" wrapText="1"/>
    </xf>
    <xf numFmtId="9" fontId="47" fillId="0" borderId="28" xfId="8" applyFont="1" applyBorder="1" applyAlignment="1">
      <alignment horizontal="right" vertical="center" wrapText="1"/>
    </xf>
    <xf numFmtId="9" fontId="47" fillId="0" borderId="28" xfId="0" applyNumberFormat="1" applyFont="1" applyBorder="1" applyAlignment="1">
      <alignment horizontal="right" vertical="center" wrapText="1"/>
    </xf>
    <xf numFmtId="170" fontId="47" fillId="0" borderId="28" xfId="8" applyNumberFormat="1" applyFont="1" applyBorder="1" applyAlignment="1">
      <alignment horizontal="right" vertical="center" wrapText="1"/>
    </xf>
    <xf numFmtId="0" fontId="45" fillId="12" borderId="28" xfId="0" applyFont="1" applyFill="1" applyBorder="1"/>
    <xf numFmtId="0" fontId="45" fillId="12" borderId="28" xfId="0" applyFont="1" applyFill="1" applyBorder="1" applyAlignment="1">
      <alignment horizontal="right" vertical="center" wrapText="1"/>
    </xf>
    <xf numFmtId="0" fontId="46" fillId="13" borderId="28" xfId="0" applyFont="1" applyFill="1" applyBorder="1"/>
    <xf numFmtId="0" fontId="46" fillId="13" borderId="31" xfId="0" applyFont="1" applyFill="1" applyBorder="1" applyAlignment="1">
      <alignment horizontal="center" vertical="center" wrapText="1"/>
    </xf>
    <xf numFmtId="0" fontId="46" fillId="13" borderId="32" xfId="0" applyFont="1" applyFill="1" applyBorder="1" applyAlignment="1">
      <alignment horizontal="center" vertical="center" wrapText="1"/>
    </xf>
    <xf numFmtId="0" fontId="46" fillId="13" borderId="46" xfId="0" applyFont="1" applyFill="1" applyBorder="1" applyAlignment="1">
      <alignment horizontal="center" vertical="center" wrapText="1"/>
    </xf>
    <xf numFmtId="0" fontId="45" fillId="12" borderId="56" xfId="0" applyFont="1" applyFill="1" applyBorder="1" applyAlignment="1">
      <alignment horizontal="center" vertical="center" wrapText="1"/>
    </xf>
    <xf numFmtId="170" fontId="47" fillId="0" borderId="57" xfId="8" applyNumberFormat="1" applyFont="1" applyBorder="1" applyAlignment="1">
      <alignment horizontal="right" vertical="center" wrapText="1"/>
    </xf>
    <xf numFmtId="0" fontId="49" fillId="12" borderId="28" xfId="0" applyFont="1" applyFill="1" applyBorder="1" applyAlignment="1">
      <alignment vertical="center" wrapText="1"/>
    </xf>
    <xf numFmtId="0" fontId="49" fillId="12" borderId="56" xfId="0" applyFont="1" applyFill="1" applyBorder="1" applyAlignment="1">
      <alignment vertical="center" wrapText="1"/>
    </xf>
    <xf numFmtId="164" fontId="47" fillId="0" borderId="28" xfId="0" applyNumberFormat="1" applyFont="1" applyBorder="1" applyAlignment="1">
      <alignment horizontal="right" wrapText="1"/>
    </xf>
    <xf numFmtId="0" fontId="49" fillId="12" borderId="28" xfId="0" applyFont="1" applyFill="1" applyBorder="1" applyAlignment="1">
      <alignment horizontal="center" vertical="center" wrapText="1"/>
    </xf>
    <xf numFmtId="0" fontId="50" fillId="0" borderId="28" xfId="0" applyFont="1" applyBorder="1" applyAlignment="1">
      <alignment vertical="center" wrapText="1"/>
    </xf>
    <xf numFmtId="165" fontId="50" fillId="0" borderId="28" xfId="0" applyNumberFormat="1" applyFont="1" applyBorder="1" applyAlignment="1">
      <alignment horizontal="right" vertical="center" wrapText="1"/>
    </xf>
    <xf numFmtId="0" fontId="51" fillId="0" borderId="28" xfId="0" applyFont="1" applyBorder="1" applyAlignment="1">
      <alignment vertical="center" wrapText="1"/>
    </xf>
    <xf numFmtId="6" fontId="51" fillId="0" borderId="28" xfId="0" applyNumberFormat="1" applyFont="1" applyBorder="1" applyAlignment="1">
      <alignment horizontal="right" vertical="center" wrapText="1"/>
    </xf>
    <xf numFmtId="164" fontId="50" fillId="0" borderId="28" xfId="0" applyNumberFormat="1" applyFont="1" applyBorder="1" applyAlignment="1">
      <alignment horizontal="right" vertical="center" wrapText="1"/>
    </xf>
    <xf numFmtId="0" fontId="52" fillId="0" borderId="0" xfId="0" applyFont="1"/>
    <xf numFmtId="42" fontId="50" fillId="0" borderId="28" xfId="0" applyNumberFormat="1" applyFont="1" applyBorder="1" applyAlignment="1">
      <alignment horizontal="right" vertical="center" wrapText="1"/>
    </xf>
    <xf numFmtId="42" fontId="51" fillId="0" borderId="28" xfId="0" applyNumberFormat="1" applyFont="1" applyBorder="1" applyAlignment="1">
      <alignment horizontal="right" vertical="center" wrapText="1"/>
    </xf>
    <xf numFmtId="0" fontId="39" fillId="0" borderId="31" xfId="0" applyFont="1" applyBorder="1"/>
    <xf numFmtId="0" fontId="39" fillId="0" borderId="32" xfId="0" applyFont="1" applyBorder="1"/>
    <xf numFmtId="41" fontId="34" fillId="0" borderId="24" xfId="0" applyNumberFormat="1" applyFont="1" applyBorder="1"/>
    <xf numFmtId="0" fontId="35" fillId="13" borderId="31" xfId="0" applyFont="1" applyFill="1" applyBorder="1"/>
    <xf numFmtId="42" fontId="35" fillId="12" borderId="32" xfId="0" applyNumberFormat="1" applyFont="1" applyFill="1" applyBorder="1"/>
    <xf numFmtId="164" fontId="34" fillId="0" borderId="32" xfId="1" applyNumberFormat="1" applyFont="1" applyBorder="1"/>
    <xf numFmtId="164" fontId="34" fillId="0" borderId="46" xfId="1" applyNumberFormat="1" applyFont="1" applyBorder="1"/>
    <xf numFmtId="0" fontId="34" fillId="2" borderId="46" xfId="0" applyFont="1" applyFill="1" applyBorder="1" applyAlignment="1">
      <alignment horizontal="center"/>
    </xf>
    <xf numFmtId="0" fontId="34" fillId="0" borderId="21"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15" fillId="0" borderId="12" xfId="0" applyFont="1" applyBorder="1" applyAlignment="1">
      <alignment vertical="center" wrapText="1"/>
    </xf>
    <xf numFmtId="0" fontId="18" fillId="5" borderId="17" xfId="0" applyFont="1" applyFill="1" applyBorder="1" applyAlignment="1">
      <alignment horizontal="center" vertical="center" wrapText="1"/>
    </xf>
    <xf numFmtId="0" fontId="0" fillId="0" borderId="0" xfId="0" applyAlignment="1">
      <alignment horizontal="center"/>
    </xf>
    <xf numFmtId="0" fontId="35" fillId="12" borderId="38" xfId="0" applyFont="1" applyFill="1" applyBorder="1" applyAlignment="1">
      <alignment horizontal="left"/>
    </xf>
    <xf numFmtId="0" fontId="35" fillId="12" borderId="30" xfId="0" applyFont="1" applyFill="1" applyBorder="1" applyAlignment="1">
      <alignment horizontal="left"/>
    </xf>
    <xf numFmtId="0" fontId="0" fillId="0" borderId="5" xfId="0" applyBorder="1"/>
    <xf numFmtId="0" fontId="43" fillId="13" borderId="28" xfId="0" applyFont="1" applyFill="1" applyBorder="1" applyAlignment="1">
      <alignment horizontal="center" vertical="center" wrapText="1"/>
    </xf>
    <xf numFmtId="0" fontId="46" fillId="13" borderId="28" xfId="0" applyFont="1" applyFill="1" applyBorder="1" applyAlignment="1">
      <alignment horizontal="center" vertical="center" wrapText="1"/>
    </xf>
    <xf numFmtId="0" fontId="0" fillId="0" borderId="0" xfId="0"/>
  </cellXfs>
  <cellStyles count="9">
    <cellStyle name="Comma" xfId="1" builtinId="3"/>
    <cellStyle name="Comma 2 2" xfId="4" xr:uid="{11A4B599-891E-46E7-84D5-3AFEC805B4C5}"/>
    <cellStyle name="Currency 3" xfId="7" xr:uid="{45049F2F-0E93-4921-92F5-41E4A249DC91}"/>
    <cellStyle name="Hyperlink" xfId="3" builtinId="8"/>
    <cellStyle name="Normal" xfId="0" builtinId="0"/>
    <cellStyle name="Normal 2" xfId="5" xr:uid="{05B2AC79-7682-4AFA-B2E6-494EA72DA6F5}"/>
    <cellStyle name="Percent" xfId="2" builtinId="5"/>
    <cellStyle name="Percent 2" xfId="6" xr:uid="{B7E69357-BE23-482A-9662-3E644A2178DB}"/>
    <cellStyle name="Percent 2 2" xfId="8" xr:uid="{853015F5-6D01-4C3B-8816-90899C8C18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CLIENTS\2%20-%20ADMIN%20SERVICES\RDA%20ADMINISTRATION\Pleasant%20Grove\2019\Models\Pleasant%20Grove%20Hammons%20Admin%20Tool%2010.17.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l"/>
      <sheetName val="General Notes"/>
      <sheetName val="Project Area Summary"/>
      <sheetName val="Documents"/>
      <sheetName val="TEC"/>
      <sheetName val="2015 Budget"/>
      <sheetName val="Updated Multi-Year Budget"/>
      <sheetName val="Annual Budget"/>
      <sheetName val="695A"/>
      <sheetName val="700"/>
      <sheetName val="Value Summary"/>
      <sheetName val="2008 Values"/>
      <sheetName val="2009 Values"/>
      <sheetName val="2010 Values"/>
      <sheetName val="2011 Values"/>
      <sheetName val="2012 Values"/>
      <sheetName val="2013 Values"/>
      <sheetName val="2014 Values"/>
      <sheetName val="2015 Values"/>
      <sheetName val="2016 Values"/>
      <sheetName val="2017 Values"/>
      <sheetName val="2018 Values"/>
      <sheetName val="2019 Values"/>
      <sheetName val="2020 Values"/>
      <sheetName val="2021 Values"/>
      <sheetName val="2022 Values"/>
      <sheetName val="2023 Values"/>
      <sheetName val="2024 Values"/>
      <sheetName val="2025 Values"/>
      <sheetName val="2026 Values"/>
      <sheetName val="2027 Values"/>
      <sheetName val="2028 Values"/>
      <sheetName val="2029 Values"/>
      <sheetName val="2030 Values"/>
      <sheetName val="2031 Values"/>
      <sheetName val="Tax Rates"/>
    </sheetNames>
    <sheetDataSet>
      <sheetData sheetId="0"/>
      <sheetData sheetId="1"/>
      <sheetData sheetId="2"/>
      <sheetData sheetId="3"/>
      <sheetData sheetId="4"/>
      <sheetData sheetId="5"/>
      <sheetData sheetId="6"/>
      <sheetData sheetId="7"/>
      <sheetData sheetId="8"/>
      <sheetData sheetId="9"/>
      <sheetData sheetId="10">
        <row r="3">
          <cell r="A3">
            <v>2008</v>
          </cell>
        </row>
        <row r="4">
          <cell r="A4">
            <v>2009</v>
          </cell>
        </row>
        <row r="5">
          <cell r="A5">
            <v>2010</v>
          </cell>
        </row>
        <row r="6">
          <cell r="A6">
            <v>2011</v>
          </cell>
        </row>
        <row r="7">
          <cell r="A7">
            <v>2012</v>
          </cell>
        </row>
        <row r="8">
          <cell r="A8">
            <v>2013</v>
          </cell>
        </row>
        <row r="9">
          <cell r="A9">
            <v>2014</v>
          </cell>
        </row>
        <row r="10">
          <cell r="A10">
            <v>2015</v>
          </cell>
        </row>
        <row r="11">
          <cell r="A11">
            <v>2016</v>
          </cell>
        </row>
        <row r="12">
          <cell r="A12">
            <v>2017</v>
          </cell>
        </row>
        <row r="13">
          <cell r="A13">
            <v>2018</v>
          </cell>
        </row>
        <row r="14">
          <cell r="A14">
            <v>2019</v>
          </cell>
        </row>
        <row r="15">
          <cell r="A15">
            <v>2020</v>
          </cell>
        </row>
        <row r="16">
          <cell r="A16">
            <v>2021</v>
          </cell>
        </row>
        <row r="17">
          <cell r="A17">
            <v>2022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persons/person.xml><?xml version="1.0" encoding="utf-8"?>
<personList xmlns="http://schemas.microsoft.com/office/spreadsheetml/2018/threadedcomments" xmlns:x="http://schemas.openxmlformats.org/spreadsheetml/2006/main">
  <person displayName="Kate Werrett" id="{CD74C0C4-BAD9-4200-9CF5-D279FF902176}" userId="S::kate@lewisyoung.com::6d75bbdb-dcd7-4cbe-b987-3cd0bfcdf5f1" providerId="AD"/>
  <person displayName="Shanon Handley" id="{D61567DF-857D-4659-B1EB-2B0018A55829}" userId="S::shanon@lewisyoung.com::addfe590-7add-40d5-bf04-9da5a8c6864a"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6" dT="2020-10-07T15:54:58.52" personId="{CD74C0C4-BAD9-4200-9CF5-D279FF902176}" id="{F60A3497-C42E-424C-9FAC-0E981F03A021}">
    <text>Geofortis will be developed 2020/2021.</text>
  </threadedComment>
  <threadedComment ref="E16" dT="2021-10-21T04:58:38.05" personId="{D61567DF-857D-4659-B1EB-2B0018A55829}" id="{059F3DCB-B73A-44A5-B97B-75379DD03615}" parentId="{F60A3497-C42E-424C-9FAC-0E981F03A021}">
    <text>Jared Stewart provided a figure 259.22 for undeveloped acres on 10/18/21.  Added an additionl 8.3 developed acres in 2020 to get to this figure.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FC6D-BE69-4CA3-A74F-E2DD945C70E5}">
  <dimension ref="A1:AV203"/>
  <sheetViews>
    <sheetView showGridLines="0" tabSelected="1" zoomScale="85" zoomScaleNormal="85" workbookViewId="0">
      <selection activeCell="C49" sqref="C49"/>
    </sheetView>
  </sheetViews>
  <sheetFormatPr defaultRowHeight="14.5" outlineLevelRow="1" outlineLevelCol="1" x14ac:dyDescent="0.35"/>
  <cols>
    <col min="1" max="1" width="46.1796875" customWidth="1"/>
    <col min="2" max="2" width="22.1796875" hidden="1" customWidth="1" outlineLevel="1"/>
    <col min="3" max="3" width="12.453125" customWidth="1" collapsed="1"/>
    <col min="4" max="23" width="12.453125" customWidth="1"/>
    <col min="24" max="24" width="24.453125" customWidth="1"/>
    <col min="25" max="25" width="10.81640625" bestFit="1" customWidth="1"/>
    <col min="26" max="26" width="9.81640625" bestFit="1" customWidth="1"/>
    <col min="39" max="41" width="26.453125" customWidth="1"/>
  </cols>
  <sheetData>
    <row r="1" spans="1:48" ht="35.5" x14ac:dyDescent="1">
      <c r="A1" s="304" t="s">
        <v>104</v>
      </c>
      <c r="B1" s="305"/>
      <c r="C1" s="305"/>
      <c r="D1" s="305"/>
      <c r="E1" s="305"/>
      <c r="F1" s="211"/>
      <c r="G1" s="211"/>
      <c r="H1" s="211"/>
      <c r="I1" s="211"/>
      <c r="J1" s="211"/>
      <c r="K1" s="211"/>
      <c r="L1" s="211"/>
      <c r="M1" s="211"/>
      <c r="N1" s="211"/>
      <c r="O1" s="211"/>
      <c r="P1" s="211"/>
      <c r="Q1" s="211"/>
      <c r="R1" s="211"/>
      <c r="S1" s="243"/>
      <c r="T1" s="243"/>
      <c r="U1" s="243"/>
      <c r="V1" s="243"/>
      <c r="W1" s="243"/>
      <c r="X1" s="243"/>
      <c r="Y1" s="243"/>
      <c r="Z1" s="243"/>
      <c r="AA1" s="243"/>
      <c r="AB1" s="243"/>
      <c r="AC1" s="243"/>
      <c r="AD1" s="243"/>
      <c r="AE1" s="243"/>
      <c r="AF1" s="243"/>
      <c r="AG1" s="243"/>
      <c r="AH1" s="243"/>
      <c r="AI1" s="244"/>
    </row>
    <row r="2" spans="1:48" ht="18" x14ac:dyDescent="0.4">
      <c r="A2" s="142" t="s">
        <v>0</v>
      </c>
      <c r="B2" s="142"/>
    </row>
    <row r="3" spans="1:48" x14ac:dyDescent="0.35">
      <c r="A3" s="308" t="e" vm="1">
        <v>#VALUE!</v>
      </c>
      <c r="B3" s="308"/>
    </row>
    <row r="4" spans="1:48" x14ac:dyDescent="0.35">
      <c r="A4" s="308"/>
      <c r="B4" s="308"/>
      <c r="D4" s="240"/>
    </row>
    <row r="5" spans="1:48" x14ac:dyDescent="0.35">
      <c r="A5" s="308"/>
      <c r="B5" s="308"/>
      <c r="D5" s="240"/>
    </row>
    <row r="6" spans="1:48" ht="24" x14ac:dyDescent="0.7">
      <c r="A6" s="1"/>
      <c r="B6" s="2"/>
      <c r="C6" s="303" t="s">
        <v>143</v>
      </c>
      <c r="D6" s="311" t="s">
        <v>144</v>
      </c>
      <c r="E6" s="311"/>
      <c r="S6" s="1"/>
      <c r="T6" s="2"/>
      <c r="U6" s="2"/>
      <c r="V6" s="2"/>
      <c r="W6" s="2"/>
      <c r="X6" s="2"/>
      <c r="Y6" s="4"/>
      <c r="Z6" s="5"/>
      <c r="AA6" s="6"/>
      <c r="AB6" s="7"/>
      <c r="AC6" s="7"/>
      <c r="AD6" s="7"/>
      <c r="AE6" s="7"/>
      <c r="AF6" s="7"/>
      <c r="AG6" s="7"/>
      <c r="AH6" s="8"/>
      <c r="AI6" s="6"/>
    </row>
    <row r="7" spans="1:48" x14ac:dyDescent="0.35">
      <c r="A7" s="148"/>
      <c r="B7" s="144"/>
      <c r="C7" s="302" t="s">
        <v>74</v>
      </c>
      <c r="D7" s="146" t="s">
        <v>75</v>
      </c>
      <c r="E7" s="146" t="s">
        <v>76</v>
      </c>
      <c r="F7" s="146" t="s">
        <v>77</v>
      </c>
      <c r="G7" s="146" t="s">
        <v>78</v>
      </c>
      <c r="H7" s="146" t="s">
        <v>79</v>
      </c>
      <c r="I7" s="146" t="s">
        <v>80</v>
      </c>
      <c r="J7" s="146" t="s">
        <v>81</v>
      </c>
      <c r="K7" s="146" t="s">
        <v>82</v>
      </c>
      <c r="L7" s="146" t="s">
        <v>83</v>
      </c>
      <c r="M7" s="146" t="s">
        <v>84</v>
      </c>
      <c r="N7" s="146" t="s">
        <v>85</v>
      </c>
      <c r="O7" s="146" t="s">
        <v>86</v>
      </c>
      <c r="P7" s="146" t="s">
        <v>87</v>
      </c>
      <c r="Q7" s="146" t="s">
        <v>88</v>
      </c>
      <c r="R7" s="146" t="s">
        <v>89</v>
      </c>
      <c r="S7" s="146" t="s">
        <v>90</v>
      </c>
      <c r="T7" s="146" t="s">
        <v>91</v>
      </c>
      <c r="U7" s="146" t="s">
        <v>92</v>
      </c>
      <c r="V7" s="146" t="s">
        <v>93</v>
      </c>
      <c r="W7" s="153"/>
      <c r="X7" s="137" t="s">
        <v>73</v>
      </c>
    </row>
    <row r="8" spans="1:48" x14ac:dyDescent="0.35">
      <c r="A8" s="149" t="s">
        <v>1</v>
      </c>
      <c r="B8" s="144">
        <v>2023</v>
      </c>
      <c r="C8" s="150">
        <v>2024</v>
      </c>
      <c r="D8" s="146">
        <v>2025</v>
      </c>
      <c r="E8" s="146">
        <v>2026</v>
      </c>
      <c r="F8" s="146">
        <v>2027</v>
      </c>
      <c r="G8" s="146">
        <v>2028</v>
      </c>
      <c r="H8" s="146">
        <v>2029</v>
      </c>
      <c r="I8" s="146">
        <v>2030</v>
      </c>
      <c r="J8" s="146">
        <v>2031</v>
      </c>
      <c r="K8" s="146">
        <v>2032</v>
      </c>
      <c r="L8" s="146">
        <v>2033</v>
      </c>
      <c r="M8" s="146">
        <v>2034</v>
      </c>
      <c r="N8" s="146">
        <v>2035</v>
      </c>
      <c r="O8" s="146">
        <v>2036</v>
      </c>
      <c r="P8" s="146">
        <v>2037</v>
      </c>
      <c r="Q8" s="146">
        <v>2038</v>
      </c>
      <c r="R8" s="146">
        <v>2039</v>
      </c>
      <c r="S8" s="146">
        <v>2040</v>
      </c>
      <c r="T8" s="146">
        <v>2041</v>
      </c>
      <c r="U8" s="146">
        <v>2042</v>
      </c>
      <c r="V8" s="146">
        <v>2044</v>
      </c>
      <c r="W8" s="154"/>
      <c r="X8" s="2"/>
      <c r="Y8" s="2"/>
      <c r="Z8" s="2"/>
      <c r="AA8" s="2"/>
      <c r="AB8" s="2"/>
      <c r="AC8" s="2"/>
      <c r="AD8" s="2"/>
      <c r="AE8" s="2"/>
      <c r="AF8" s="2"/>
      <c r="AG8" s="2"/>
      <c r="AH8" s="2"/>
      <c r="AI8" s="2"/>
      <c r="AJ8" s="2"/>
      <c r="AK8" s="2"/>
      <c r="AL8" s="2"/>
      <c r="AM8" s="2"/>
      <c r="AN8" s="2"/>
      <c r="AO8" s="2"/>
      <c r="AP8" s="2"/>
      <c r="AQ8" s="2"/>
      <c r="AR8" s="2"/>
      <c r="AS8" s="2"/>
      <c r="AT8" s="2"/>
      <c r="AU8" s="2"/>
      <c r="AV8" s="2"/>
    </row>
    <row r="9" spans="1:48" ht="15" thickBot="1" x14ac:dyDescent="0.4">
      <c r="A9" s="149" t="s">
        <v>3</v>
      </c>
      <c r="B9" s="145">
        <v>2024</v>
      </c>
      <c r="C9" s="151">
        <v>2025</v>
      </c>
      <c r="D9" s="147">
        <v>2026</v>
      </c>
      <c r="E9" s="147">
        <v>2027</v>
      </c>
      <c r="F9" s="147">
        <v>2028</v>
      </c>
      <c r="G9" s="147">
        <v>2029</v>
      </c>
      <c r="H9" s="147">
        <v>2030</v>
      </c>
      <c r="I9" s="147">
        <v>2031</v>
      </c>
      <c r="J9" s="147">
        <v>2032</v>
      </c>
      <c r="K9" s="147">
        <v>2033</v>
      </c>
      <c r="L9" s="147">
        <v>2034</v>
      </c>
      <c r="M9" s="147">
        <v>2035</v>
      </c>
      <c r="N9" s="147">
        <v>2036</v>
      </c>
      <c r="O9" s="147">
        <v>2037</v>
      </c>
      <c r="P9" s="147">
        <v>2038</v>
      </c>
      <c r="Q9" s="147">
        <v>2039</v>
      </c>
      <c r="R9" s="147">
        <v>2040</v>
      </c>
      <c r="S9" s="147">
        <v>2041</v>
      </c>
      <c r="T9" s="147">
        <v>2042</v>
      </c>
      <c r="U9" s="147">
        <v>2043</v>
      </c>
      <c r="V9" s="147">
        <v>2045</v>
      </c>
      <c r="W9" s="155" t="s">
        <v>2</v>
      </c>
      <c r="X9" s="2"/>
      <c r="Y9" s="2"/>
      <c r="Z9" s="2"/>
      <c r="AA9" s="2"/>
      <c r="AB9" s="2"/>
      <c r="AC9" s="2"/>
      <c r="AD9" s="2"/>
      <c r="AE9" s="2"/>
      <c r="AF9" s="2"/>
      <c r="AG9" s="2"/>
      <c r="AH9" s="2"/>
      <c r="AI9" s="2"/>
      <c r="AJ9" s="2"/>
      <c r="AK9" s="2"/>
      <c r="AL9" s="2"/>
      <c r="AM9" s="2"/>
      <c r="AN9" s="2"/>
      <c r="AO9" s="2"/>
      <c r="AP9" s="2"/>
      <c r="AQ9" s="2"/>
      <c r="AR9" s="2"/>
      <c r="AS9" s="2"/>
      <c r="AT9" s="2"/>
      <c r="AU9" s="2"/>
      <c r="AV9" s="2"/>
    </row>
    <row r="10" spans="1:48" ht="18.5" hidden="1" x14ac:dyDescent="0.55000000000000004">
      <c r="A10" s="9"/>
      <c r="B10" s="10"/>
      <c r="C10" s="250"/>
      <c r="D10" s="10"/>
      <c r="E10" s="10"/>
      <c r="F10" s="10"/>
      <c r="G10" s="10"/>
      <c r="H10" s="10"/>
      <c r="I10" s="10"/>
      <c r="J10" s="10"/>
      <c r="K10" s="10"/>
      <c r="L10" s="10"/>
      <c r="M10" s="10"/>
      <c r="N10" s="10"/>
      <c r="O10" s="10"/>
      <c r="P10" s="10"/>
      <c r="Q10" s="10"/>
      <c r="R10" s="10"/>
      <c r="S10" s="10"/>
      <c r="T10" s="10"/>
      <c r="U10" s="10"/>
      <c r="V10" s="10"/>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row>
    <row r="11" spans="1:48" ht="17" hidden="1" thickBot="1" x14ac:dyDescent="0.55000000000000004">
      <c r="A11" s="11" t="s">
        <v>4</v>
      </c>
      <c r="B11" s="12"/>
      <c r="C11" s="251"/>
      <c r="D11" s="12"/>
      <c r="E11" s="12"/>
      <c r="F11" s="12"/>
      <c r="G11" s="12"/>
      <c r="H11" s="12"/>
      <c r="I11" s="12"/>
      <c r="J11" s="12"/>
      <c r="K11" s="12"/>
      <c r="L11" s="12"/>
      <c r="M11" s="12"/>
      <c r="N11" s="12"/>
      <c r="O11" s="12"/>
      <c r="P11" s="12"/>
      <c r="Q11" s="12"/>
      <c r="R11" s="12"/>
      <c r="S11" s="12"/>
      <c r="T11" s="12"/>
      <c r="U11" s="12"/>
      <c r="V11" s="12"/>
      <c r="W11" s="13"/>
      <c r="X11" s="2"/>
      <c r="Y11" s="2"/>
      <c r="Z11" s="2"/>
      <c r="AA11" s="2"/>
      <c r="AB11" s="106">
        <v>1226</v>
      </c>
      <c r="AC11" s="2"/>
      <c r="AD11" s="2"/>
      <c r="AE11" s="2"/>
      <c r="AF11" s="2"/>
      <c r="AG11" s="2"/>
      <c r="AH11" s="2"/>
      <c r="AI11" s="2"/>
      <c r="AJ11" s="2"/>
      <c r="AK11" s="2"/>
      <c r="AL11" s="2"/>
      <c r="AM11" s="2"/>
      <c r="AN11" s="2"/>
      <c r="AO11" s="2"/>
      <c r="AP11" s="2"/>
      <c r="AQ11" s="2"/>
      <c r="AR11" s="2"/>
      <c r="AS11" s="2"/>
      <c r="AT11" s="2"/>
      <c r="AU11" s="2"/>
      <c r="AV11" s="2"/>
    </row>
    <row r="12" spans="1:48" s="35" customFormat="1" ht="18" customHeight="1" collapsed="1" x14ac:dyDescent="0.3">
      <c r="A12" s="152" t="s">
        <v>40</v>
      </c>
      <c r="B12" s="152"/>
      <c r="C12" s="207"/>
      <c r="D12" s="249"/>
      <c r="E12" s="152"/>
      <c r="F12" s="152"/>
      <c r="G12" s="152"/>
      <c r="H12" s="152"/>
      <c r="I12" s="152"/>
      <c r="J12" s="152"/>
      <c r="K12" s="152"/>
      <c r="L12" s="152"/>
      <c r="M12" s="152"/>
      <c r="N12" s="152"/>
      <c r="O12" s="152"/>
      <c r="P12" s="152"/>
      <c r="Q12" s="152"/>
      <c r="R12" s="152"/>
      <c r="S12" s="152"/>
      <c r="T12" s="152"/>
      <c r="U12" s="152"/>
      <c r="V12" s="152"/>
      <c r="W12" s="181"/>
    </row>
    <row r="13" spans="1:48" ht="16" x14ac:dyDescent="0.35">
      <c r="A13" s="156" t="s">
        <v>5</v>
      </c>
      <c r="B13" s="157"/>
      <c r="C13" s="156"/>
      <c r="D13" s="157"/>
      <c r="E13" s="157"/>
      <c r="F13" s="157"/>
      <c r="G13" s="157"/>
      <c r="H13" s="157"/>
      <c r="I13" s="157"/>
      <c r="J13" s="157"/>
      <c r="K13" s="157"/>
      <c r="L13" s="157"/>
      <c r="M13" s="157"/>
      <c r="N13" s="157"/>
      <c r="O13" s="157"/>
      <c r="P13" s="157"/>
      <c r="Q13" s="157"/>
      <c r="R13" s="157"/>
      <c r="S13" s="157"/>
      <c r="T13" s="157"/>
      <c r="U13" s="157"/>
      <c r="V13" s="157"/>
      <c r="W13" s="156"/>
      <c r="X13" s="2"/>
      <c r="Y13" s="2"/>
      <c r="Z13" s="2"/>
      <c r="AA13" s="105">
        <f>AB13/$AB$11</f>
        <v>0.71288743882544858</v>
      </c>
      <c r="AB13" s="107">
        <v>874</v>
      </c>
      <c r="AC13" s="2" t="s">
        <v>58</v>
      </c>
      <c r="AD13" s="2"/>
      <c r="AE13" s="2"/>
      <c r="AF13" s="2"/>
      <c r="AG13" s="2"/>
      <c r="AH13" s="2"/>
      <c r="AI13" s="2"/>
      <c r="AJ13" s="2"/>
      <c r="AK13" s="2"/>
      <c r="AL13" s="2"/>
      <c r="AM13" s="2"/>
      <c r="AN13" s="2"/>
      <c r="AO13" s="2"/>
      <c r="AP13" s="2"/>
      <c r="AQ13" s="2"/>
      <c r="AR13" s="2"/>
      <c r="AS13" s="2"/>
      <c r="AT13" s="2"/>
      <c r="AU13" s="2"/>
      <c r="AV13" s="2"/>
    </row>
    <row r="14" spans="1:48" s="35" customFormat="1" ht="15" customHeight="1" x14ac:dyDescent="0.3">
      <c r="A14" s="158" t="s">
        <v>56</v>
      </c>
      <c r="B14" s="223">
        <v>12140700</v>
      </c>
      <c r="C14" s="195">
        <v>12506715</v>
      </c>
      <c r="D14" s="160">
        <f>C69</f>
        <v>19825000</v>
      </c>
      <c r="E14" s="160">
        <f>D14*(1+D70)</f>
        <v>27450000</v>
      </c>
      <c r="F14" s="160">
        <f t="shared" ref="F14:V14" si="0">E14*(1+E70)</f>
        <v>27450000</v>
      </c>
      <c r="G14" s="160">
        <f t="shared" si="0"/>
        <v>35075000</v>
      </c>
      <c r="H14" s="160">
        <f t="shared" si="0"/>
        <v>35075000</v>
      </c>
      <c r="I14" s="160">
        <f t="shared" si="0"/>
        <v>35075000</v>
      </c>
      <c r="J14" s="160">
        <f t="shared" si="0"/>
        <v>35075000</v>
      </c>
      <c r="K14" s="160">
        <f t="shared" si="0"/>
        <v>35075000</v>
      </c>
      <c r="L14" s="160">
        <f t="shared" si="0"/>
        <v>35075000</v>
      </c>
      <c r="M14" s="160">
        <f t="shared" si="0"/>
        <v>35075000</v>
      </c>
      <c r="N14" s="160">
        <f t="shared" si="0"/>
        <v>35075000</v>
      </c>
      <c r="O14" s="160">
        <f t="shared" si="0"/>
        <v>35075000</v>
      </c>
      <c r="P14" s="160">
        <f t="shared" si="0"/>
        <v>35075000</v>
      </c>
      <c r="Q14" s="160">
        <f t="shared" si="0"/>
        <v>35075000</v>
      </c>
      <c r="R14" s="160">
        <f t="shared" si="0"/>
        <v>35075000</v>
      </c>
      <c r="S14" s="160">
        <f t="shared" si="0"/>
        <v>35075000</v>
      </c>
      <c r="T14" s="160">
        <f t="shared" si="0"/>
        <v>35075000</v>
      </c>
      <c r="U14" s="160">
        <f t="shared" si="0"/>
        <v>35075000</v>
      </c>
      <c r="V14" s="160">
        <f t="shared" si="0"/>
        <v>35075000</v>
      </c>
      <c r="W14" s="183"/>
      <c r="AA14" s="35">
        <f>AB14/$AB$11</f>
        <v>0.28711256117455136</v>
      </c>
      <c r="AB14" s="35">
        <v>352</v>
      </c>
      <c r="AC14" s="35" t="s">
        <v>59</v>
      </c>
    </row>
    <row r="15" spans="1:48" s="35" customFormat="1" ht="15" customHeight="1" x14ac:dyDescent="0.3">
      <c r="A15" s="158" t="s">
        <v>6</v>
      </c>
      <c r="B15" s="222">
        <v>0</v>
      </c>
      <c r="C15" s="196">
        <v>0</v>
      </c>
      <c r="D15" s="163">
        <f>C15</f>
        <v>0</v>
      </c>
      <c r="E15" s="163">
        <f t="shared" ref="E15:V15" si="1">D15</f>
        <v>0</v>
      </c>
      <c r="F15" s="163">
        <f t="shared" si="1"/>
        <v>0</v>
      </c>
      <c r="G15" s="163">
        <f t="shared" si="1"/>
        <v>0</v>
      </c>
      <c r="H15" s="163">
        <f t="shared" si="1"/>
        <v>0</v>
      </c>
      <c r="I15" s="163">
        <f t="shared" si="1"/>
        <v>0</v>
      </c>
      <c r="J15" s="163">
        <f t="shared" si="1"/>
        <v>0</v>
      </c>
      <c r="K15" s="163">
        <f t="shared" si="1"/>
        <v>0</v>
      </c>
      <c r="L15" s="163">
        <f t="shared" si="1"/>
        <v>0</v>
      </c>
      <c r="M15" s="163">
        <f t="shared" si="1"/>
        <v>0</v>
      </c>
      <c r="N15" s="163">
        <f t="shared" si="1"/>
        <v>0</v>
      </c>
      <c r="O15" s="163">
        <f t="shared" si="1"/>
        <v>0</v>
      </c>
      <c r="P15" s="163">
        <f t="shared" si="1"/>
        <v>0</v>
      </c>
      <c r="Q15" s="163">
        <f t="shared" si="1"/>
        <v>0</v>
      </c>
      <c r="R15" s="163">
        <f t="shared" si="1"/>
        <v>0</v>
      </c>
      <c r="S15" s="163">
        <f t="shared" si="1"/>
        <v>0</v>
      </c>
      <c r="T15" s="163">
        <f t="shared" si="1"/>
        <v>0</v>
      </c>
      <c r="U15" s="163">
        <f t="shared" si="1"/>
        <v>0</v>
      </c>
      <c r="V15" s="163">
        <f t="shared" si="1"/>
        <v>0</v>
      </c>
      <c r="W15" s="184"/>
    </row>
    <row r="16" spans="1:48" s="35" customFormat="1" ht="15" customHeight="1" x14ac:dyDescent="0.3">
      <c r="A16" s="158" t="s">
        <v>7</v>
      </c>
      <c r="B16" s="232">
        <v>142048</v>
      </c>
      <c r="C16" s="197">
        <v>138117</v>
      </c>
      <c r="D16" s="164">
        <f>C16</f>
        <v>138117</v>
      </c>
      <c r="E16" s="164">
        <f t="shared" ref="E16:V16" si="2">D16</f>
        <v>138117</v>
      </c>
      <c r="F16" s="164">
        <f t="shared" si="2"/>
        <v>138117</v>
      </c>
      <c r="G16" s="164">
        <f t="shared" si="2"/>
        <v>138117</v>
      </c>
      <c r="H16" s="164">
        <f t="shared" si="2"/>
        <v>138117</v>
      </c>
      <c r="I16" s="164">
        <f t="shared" si="2"/>
        <v>138117</v>
      </c>
      <c r="J16" s="164">
        <f t="shared" si="2"/>
        <v>138117</v>
      </c>
      <c r="K16" s="164">
        <f t="shared" si="2"/>
        <v>138117</v>
      </c>
      <c r="L16" s="164">
        <f t="shared" si="2"/>
        <v>138117</v>
      </c>
      <c r="M16" s="164">
        <f t="shared" si="2"/>
        <v>138117</v>
      </c>
      <c r="N16" s="164">
        <f t="shared" si="2"/>
        <v>138117</v>
      </c>
      <c r="O16" s="164">
        <f t="shared" si="2"/>
        <v>138117</v>
      </c>
      <c r="P16" s="164">
        <f t="shared" si="2"/>
        <v>138117</v>
      </c>
      <c r="Q16" s="164">
        <f t="shared" si="2"/>
        <v>138117</v>
      </c>
      <c r="R16" s="164">
        <f t="shared" si="2"/>
        <v>138117</v>
      </c>
      <c r="S16" s="164">
        <f t="shared" si="2"/>
        <v>138117</v>
      </c>
      <c r="T16" s="164">
        <f t="shared" si="2"/>
        <v>138117</v>
      </c>
      <c r="U16" s="164">
        <f t="shared" si="2"/>
        <v>138117</v>
      </c>
      <c r="V16" s="164">
        <f t="shared" si="2"/>
        <v>138117</v>
      </c>
      <c r="W16" s="185"/>
    </row>
    <row r="17" spans="1:48" s="168" customFormat="1" ht="15" customHeight="1" x14ac:dyDescent="0.3">
      <c r="A17" s="309" t="s">
        <v>8</v>
      </c>
      <c r="B17" s="310"/>
      <c r="C17" s="182">
        <f>SUM(C14:C16)</f>
        <v>12644832</v>
      </c>
      <c r="D17" s="225">
        <f>SUM(D14:D16)</f>
        <v>19963117</v>
      </c>
      <c r="E17" s="166">
        <f t="shared" ref="E17:V17" si="3">SUM(E14:E16)</f>
        <v>27588117</v>
      </c>
      <c r="F17" s="166">
        <f t="shared" si="3"/>
        <v>27588117</v>
      </c>
      <c r="G17" s="166">
        <f t="shared" si="3"/>
        <v>35213117</v>
      </c>
      <c r="H17" s="166">
        <f t="shared" si="3"/>
        <v>35213117</v>
      </c>
      <c r="I17" s="166">
        <f t="shared" si="3"/>
        <v>35213117</v>
      </c>
      <c r="J17" s="166">
        <f t="shared" si="3"/>
        <v>35213117</v>
      </c>
      <c r="K17" s="166">
        <f t="shared" si="3"/>
        <v>35213117</v>
      </c>
      <c r="L17" s="166">
        <f t="shared" si="3"/>
        <v>35213117</v>
      </c>
      <c r="M17" s="166">
        <f t="shared" si="3"/>
        <v>35213117</v>
      </c>
      <c r="N17" s="166">
        <f t="shared" si="3"/>
        <v>35213117</v>
      </c>
      <c r="O17" s="166">
        <f t="shared" si="3"/>
        <v>35213117</v>
      </c>
      <c r="P17" s="166">
        <f t="shared" si="3"/>
        <v>35213117</v>
      </c>
      <c r="Q17" s="166">
        <f t="shared" si="3"/>
        <v>35213117</v>
      </c>
      <c r="R17" s="166">
        <f t="shared" si="3"/>
        <v>35213117</v>
      </c>
      <c r="S17" s="166">
        <f t="shared" si="3"/>
        <v>35213117</v>
      </c>
      <c r="T17" s="166">
        <f t="shared" si="3"/>
        <v>35213117</v>
      </c>
      <c r="U17" s="166">
        <f t="shared" si="3"/>
        <v>35213117</v>
      </c>
      <c r="V17" s="166">
        <f t="shared" si="3"/>
        <v>35213117</v>
      </c>
      <c r="W17" s="182"/>
      <c r="X17" s="167"/>
      <c r="Y17" s="167"/>
      <c r="Z17" s="167"/>
      <c r="AA17" s="167"/>
      <c r="AB17" s="167"/>
    </row>
    <row r="18" spans="1:48" s="35" customFormat="1" ht="15" hidden="1" customHeight="1" outlineLevel="1" x14ac:dyDescent="0.3">
      <c r="A18" s="158" t="s">
        <v>9</v>
      </c>
      <c r="B18" s="161"/>
      <c r="C18" s="196"/>
      <c r="D18" s="163"/>
      <c r="E18" s="163"/>
      <c r="F18" s="163"/>
      <c r="G18" s="163"/>
      <c r="H18" s="163"/>
      <c r="I18" s="163"/>
      <c r="J18" s="163"/>
      <c r="K18" s="163"/>
      <c r="L18" s="163"/>
      <c r="M18" s="163"/>
      <c r="N18" s="163"/>
      <c r="O18" s="163"/>
      <c r="P18" s="163"/>
      <c r="Q18" s="163"/>
      <c r="R18" s="163"/>
      <c r="S18" s="163"/>
      <c r="T18" s="163"/>
      <c r="U18" s="163"/>
      <c r="V18" s="163"/>
      <c r="W18" s="184"/>
    </row>
    <row r="19" spans="1:48" hidden="1" outlineLevel="1" x14ac:dyDescent="0.35">
      <c r="A19" s="169" t="s">
        <v>56</v>
      </c>
      <c r="B19" s="161"/>
      <c r="C19" s="196">
        <f>S19</f>
        <v>0</v>
      </c>
      <c r="D19" s="163"/>
      <c r="E19" s="163"/>
      <c r="F19" s="163"/>
      <c r="G19" s="163"/>
      <c r="H19" s="163"/>
      <c r="I19" s="163"/>
      <c r="J19" s="163"/>
      <c r="K19" s="163"/>
      <c r="L19" s="163"/>
      <c r="M19" s="163"/>
      <c r="N19" s="163"/>
      <c r="O19" s="163"/>
      <c r="P19" s="163"/>
      <c r="Q19" s="163"/>
      <c r="R19" s="163"/>
      <c r="S19" s="163"/>
      <c r="T19" s="163"/>
      <c r="U19" s="163"/>
      <c r="V19" s="163"/>
      <c r="W19" s="184"/>
      <c r="X19" s="4"/>
      <c r="Y19" s="2"/>
      <c r="Z19" s="2"/>
      <c r="AA19" s="2"/>
      <c r="AB19" s="2"/>
      <c r="AC19" s="2"/>
      <c r="AD19" s="2"/>
      <c r="AE19" s="2"/>
      <c r="AF19" s="2"/>
      <c r="AG19" s="2"/>
      <c r="AH19" s="2"/>
      <c r="AI19" s="2"/>
      <c r="AJ19" s="2"/>
      <c r="AK19" s="2"/>
      <c r="AL19" s="2"/>
      <c r="AM19" s="2"/>
      <c r="AN19" s="2"/>
      <c r="AO19" s="2"/>
      <c r="AP19" s="2"/>
      <c r="AQ19" s="2"/>
      <c r="AR19" s="2"/>
      <c r="AS19" s="2"/>
      <c r="AT19" s="2"/>
      <c r="AU19" s="2"/>
      <c r="AV19" s="2"/>
    </row>
    <row r="20" spans="1:48" hidden="1" outlineLevel="1" x14ac:dyDescent="0.35">
      <c r="A20" s="169" t="s">
        <v>6</v>
      </c>
      <c r="B20" s="161"/>
      <c r="C20" s="196">
        <v>0</v>
      </c>
      <c r="D20" s="163"/>
      <c r="E20" s="163"/>
      <c r="F20" s="163"/>
      <c r="G20" s="163"/>
      <c r="H20" s="163"/>
      <c r="I20" s="163"/>
      <c r="J20" s="163"/>
      <c r="K20" s="163"/>
      <c r="L20" s="163"/>
      <c r="M20" s="163"/>
      <c r="N20" s="163"/>
      <c r="O20" s="163"/>
      <c r="P20" s="163"/>
      <c r="Q20" s="163"/>
      <c r="R20" s="163"/>
      <c r="S20" s="163"/>
      <c r="T20" s="163"/>
      <c r="U20" s="163"/>
      <c r="V20" s="163"/>
      <c r="W20" s="184"/>
      <c r="X20" s="4"/>
      <c r="Y20" s="2"/>
      <c r="Z20" s="2"/>
      <c r="AA20" s="2"/>
      <c r="AB20" s="2"/>
      <c r="AC20" s="2"/>
      <c r="AD20" s="2"/>
      <c r="AE20" s="2"/>
      <c r="AF20" s="2"/>
      <c r="AG20" s="2"/>
      <c r="AH20" s="2"/>
      <c r="AI20" s="2"/>
      <c r="AJ20" s="2"/>
      <c r="AK20" s="2"/>
      <c r="AL20" s="2"/>
      <c r="AM20" s="2"/>
      <c r="AN20" s="2"/>
      <c r="AO20" s="2"/>
      <c r="AP20" s="2"/>
      <c r="AQ20" s="2"/>
      <c r="AR20" s="2"/>
      <c r="AS20" s="2"/>
      <c r="AT20" s="2"/>
      <c r="AU20" s="2"/>
      <c r="AV20" s="2"/>
    </row>
    <row r="21" spans="1:48" hidden="1" outlineLevel="1" x14ac:dyDescent="0.35">
      <c r="A21" s="169" t="s">
        <v>7</v>
      </c>
      <c r="B21" s="161"/>
      <c r="C21" s="196">
        <f>S21</f>
        <v>0</v>
      </c>
      <c r="D21" s="163"/>
      <c r="E21" s="163"/>
      <c r="F21" s="163"/>
      <c r="G21" s="163"/>
      <c r="H21" s="163"/>
      <c r="I21" s="163"/>
      <c r="J21" s="163"/>
      <c r="K21" s="163"/>
      <c r="L21" s="163"/>
      <c r="M21" s="163"/>
      <c r="N21" s="163"/>
      <c r="O21" s="163"/>
      <c r="P21" s="163"/>
      <c r="Q21" s="163"/>
      <c r="R21" s="163"/>
      <c r="S21" s="163"/>
      <c r="T21" s="163"/>
      <c r="U21" s="163"/>
      <c r="V21" s="163"/>
      <c r="W21" s="184"/>
      <c r="X21" s="4"/>
      <c r="Y21" s="2"/>
      <c r="Z21" s="2"/>
      <c r="AA21" s="2"/>
      <c r="AB21" s="2"/>
      <c r="AC21" s="2"/>
      <c r="AD21" s="2"/>
      <c r="AE21" s="2"/>
      <c r="AF21" s="2"/>
      <c r="AG21" s="2"/>
      <c r="AH21" s="2"/>
      <c r="AI21" s="2"/>
      <c r="AJ21" s="2"/>
      <c r="AK21" s="2"/>
      <c r="AL21" s="2"/>
      <c r="AM21" s="2"/>
      <c r="AN21" s="2"/>
      <c r="AO21" s="2"/>
      <c r="AP21" s="2"/>
      <c r="AQ21" s="2"/>
      <c r="AR21" s="2"/>
      <c r="AS21" s="2"/>
      <c r="AT21" s="2"/>
      <c r="AU21" s="2"/>
      <c r="AV21" s="2"/>
    </row>
    <row r="22" spans="1:48" collapsed="1" x14ac:dyDescent="0.35">
      <c r="A22" s="158" t="s">
        <v>9</v>
      </c>
      <c r="B22" s="161"/>
      <c r="C22" s="196">
        <v>0</v>
      </c>
      <c r="D22" s="163">
        <v>0</v>
      </c>
      <c r="E22" s="163">
        <v>0</v>
      </c>
      <c r="F22" s="163">
        <v>0</v>
      </c>
      <c r="G22" s="163">
        <v>0</v>
      </c>
      <c r="H22" s="163">
        <v>0</v>
      </c>
      <c r="I22" s="163">
        <v>0</v>
      </c>
      <c r="J22" s="163">
        <v>0</v>
      </c>
      <c r="K22" s="163">
        <v>0</v>
      </c>
      <c r="L22" s="163">
        <v>0</v>
      </c>
      <c r="M22" s="163">
        <v>0</v>
      </c>
      <c r="N22" s="163">
        <v>0</v>
      </c>
      <c r="O22" s="163">
        <v>0</v>
      </c>
      <c r="P22" s="163">
        <v>0</v>
      </c>
      <c r="Q22" s="163">
        <v>0</v>
      </c>
      <c r="R22" s="163">
        <v>0</v>
      </c>
      <c r="S22" s="163"/>
      <c r="T22" s="163"/>
      <c r="U22" s="163"/>
      <c r="V22" s="163"/>
      <c r="W22" s="184"/>
      <c r="X22" s="4"/>
      <c r="Y22" s="2"/>
      <c r="Z22" s="2"/>
      <c r="AA22" s="2"/>
      <c r="AB22" s="2"/>
      <c r="AC22" s="2"/>
      <c r="AD22" s="2"/>
      <c r="AE22" s="2"/>
      <c r="AF22" s="2"/>
      <c r="AG22" s="2"/>
      <c r="AH22" s="2"/>
      <c r="AI22" s="2"/>
      <c r="AJ22" s="2"/>
      <c r="AK22" s="2"/>
      <c r="AL22" s="2"/>
      <c r="AM22" s="2"/>
      <c r="AN22" s="2"/>
      <c r="AO22" s="2"/>
      <c r="AP22" s="2"/>
      <c r="AQ22" s="2"/>
      <c r="AR22" s="2"/>
      <c r="AS22" s="2"/>
      <c r="AT22" s="2"/>
      <c r="AU22" s="2"/>
      <c r="AV22" s="2"/>
    </row>
    <row r="23" spans="1:48" s="168" customFormat="1" ht="15" customHeight="1" thickBot="1" x14ac:dyDescent="0.35">
      <c r="A23" s="165" t="s">
        <v>10</v>
      </c>
      <c r="B23" s="166"/>
      <c r="C23" s="182">
        <f t="shared" ref="C23:U23" si="4">C17-C22</f>
        <v>12644832</v>
      </c>
      <c r="D23" s="225">
        <f t="shared" si="4"/>
        <v>19963117</v>
      </c>
      <c r="E23" s="166">
        <f t="shared" si="4"/>
        <v>27588117</v>
      </c>
      <c r="F23" s="166">
        <f t="shared" si="4"/>
        <v>27588117</v>
      </c>
      <c r="G23" s="166">
        <f t="shared" si="4"/>
        <v>35213117</v>
      </c>
      <c r="H23" s="166">
        <f t="shared" si="4"/>
        <v>35213117</v>
      </c>
      <c r="I23" s="166">
        <f t="shared" si="4"/>
        <v>35213117</v>
      </c>
      <c r="J23" s="166">
        <f t="shared" si="4"/>
        <v>35213117</v>
      </c>
      <c r="K23" s="166">
        <f t="shared" si="4"/>
        <v>35213117</v>
      </c>
      <c r="L23" s="166">
        <f t="shared" si="4"/>
        <v>35213117</v>
      </c>
      <c r="M23" s="166">
        <f t="shared" si="4"/>
        <v>35213117</v>
      </c>
      <c r="N23" s="166">
        <f t="shared" si="4"/>
        <v>35213117</v>
      </c>
      <c r="O23" s="166">
        <f t="shared" si="4"/>
        <v>35213117</v>
      </c>
      <c r="P23" s="166">
        <f t="shared" si="4"/>
        <v>35213117</v>
      </c>
      <c r="Q23" s="166">
        <f t="shared" si="4"/>
        <v>35213117</v>
      </c>
      <c r="R23" s="166">
        <f t="shared" si="4"/>
        <v>35213117</v>
      </c>
      <c r="S23" s="166">
        <f t="shared" si="4"/>
        <v>35213117</v>
      </c>
      <c r="T23" s="166">
        <f t="shared" si="4"/>
        <v>35213117</v>
      </c>
      <c r="U23" s="166">
        <f t="shared" si="4"/>
        <v>35213117</v>
      </c>
      <c r="V23" s="166">
        <f t="shared" ref="V23" si="5">V17-V22</f>
        <v>35213117</v>
      </c>
      <c r="W23" s="182"/>
    </row>
    <row r="24" spans="1:48" ht="15" hidden="1" thickBot="1" x14ac:dyDescent="0.4">
      <c r="A24" s="16"/>
      <c r="B24" s="17"/>
      <c r="C24" s="252"/>
      <c r="D24" s="18"/>
      <c r="E24" s="18"/>
      <c r="F24" s="18"/>
      <c r="G24" s="18"/>
      <c r="H24" s="18"/>
      <c r="I24" s="18"/>
      <c r="J24" s="18"/>
      <c r="K24" s="18"/>
      <c r="L24" s="18"/>
      <c r="M24" s="18"/>
      <c r="N24" s="18"/>
      <c r="O24" s="18"/>
      <c r="P24" s="18"/>
      <c r="Q24" s="18"/>
      <c r="R24" s="18"/>
      <c r="S24" s="17"/>
      <c r="T24" s="17"/>
      <c r="U24" s="17"/>
      <c r="V24" s="17"/>
      <c r="W24" s="186"/>
      <c r="X24" s="2"/>
      <c r="Y24" s="2"/>
      <c r="Z24" s="2"/>
      <c r="AA24" s="2"/>
      <c r="AB24" s="2"/>
      <c r="AC24" s="2"/>
      <c r="AD24" s="2"/>
      <c r="AE24" s="2"/>
      <c r="AF24" s="2"/>
      <c r="AG24" s="2"/>
      <c r="AH24" s="2"/>
      <c r="AI24" s="2"/>
      <c r="AJ24" s="2"/>
      <c r="AK24" s="2"/>
      <c r="AL24" s="2"/>
      <c r="AM24" s="2"/>
      <c r="AN24" s="2"/>
      <c r="AO24" s="2"/>
      <c r="AP24" s="2"/>
      <c r="AQ24" s="2"/>
      <c r="AR24" s="2"/>
      <c r="AS24" s="2"/>
      <c r="AT24" s="2"/>
      <c r="AU24" s="2"/>
      <c r="AV24" s="2"/>
    </row>
    <row r="25" spans="1:48" s="35" customFormat="1" ht="15" customHeight="1" x14ac:dyDescent="0.3">
      <c r="A25" s="156" t="s">
        <v>94</v>
      </c>
      <c r="B25" s="157"/>
      <c r="C25" s="208"/>
      <c r="D25" s="157"/>
      <c r="E25" s="157"/>
      <c r="F25" s="157"/>
      <c r="G25" s="157"/>
      <c r="H25" s="157"/>
      <c r="I25" s="157"/>
      <c r="J25" s="157"/>
      <c r="K25" s="157"/>
      <c r="L25" s="157"/>
      <c r="M25" s="157"/>
      <c r="N25" s="157"/>
      <c r="O25" s="157"/>
      <c r="P25" s="157"/>
      <c r="Q25" s="157"/>
      <c r="R25" s="157"/>
      <c r="S25" s="157"/>
      <c r="T25" s="157"/>
      <c r="U25" s="157"/>
      <c r="V25" s="157"/>
      <c r="W25" s="156"/>
    </row>
    <row r="26" spans="1:48" x14ac:dyDescent="0.35">
      <c r="A26" s="158" t="s">
        <v>53</v>
      </c>
      <c r="B26" s="229">
        <v>1.1440000000000001E-3</v>
      </c>
      <c r="C26" s="261">
        <v>1.255E-3</v>
      </c>
      <c r="D26" s="245">
        <v>9.5100000000000002E-4</v>
      </c>
      <c r="E26" s="245">
        <f t="shared" ref="E26:V26" si="6">D26</f>
        <v>9.5100000000000002E-4</v>
      </c>
      <c r="F26" s="245">
        <f t="shared" si="6"/>
        <v>9.5100000000000002E-4</v>
      </c>
      <c r="G26" s="245">
        <f t="shared" si="6"/>
        <v>9.5100000000000002E-4</v>
      </c>
      <c r="H26" s="245">
        <f t="shared" si="6"/>
        <v>9.5100000000000002E-4</v>
      </c>
      <c r="I26" s="245">
        <f t="shared" si="6"/>
        <v>9.5100000000000002E-4</v>
      </c>
      <c r="J26" s="245">
        <f t="shared" si="6"/>
        <v>9.5100000000000002E-4</v>
      </c>
      <c r="K26" s="245">
        <f t="shared" si="6"/>
        <v>9.5100000000000002E-4</v>
      </c>
      <c r="L26" s="245">
        <f t="shared" si="6"/>
        <v>9.5100000000000002E-4</v>
      </c>
      <c r="M26" s="245">
        <f t="shared" si="6"/>
        <v>9.5100000000000002E-4</v>
      </c>
      <c r="N26" s="245">
        <f t="shared" si="6"/>
        <v>9.5100000000000002E-4</v>
      </c>
      <c r="O26" s="245">
        <f t="shared" si="6"/>
        <v>9.5100000000000002E-4</v>
      </c>
      <c r="P26" s="245">
        <f t="shared" si="6"/>
        <v>9.5100000000000002E-4</v>
      </c>
      <c r="Q26" s="245">
        <f t="shared" si="6"/>
        <v>9.5100000000000002E-4</v>
      </c>
      <c r="R26" s="245">
        <f t="shared" si="6"/>
        <v>9.5100000000000002E-4</v>
      </c>
      <c r="S26" s="245">
        <f t="shared" si="6"/>
        <v>9.5100000000000002E-4</v>
      </c>
      <c r="T26" s="245">
        <f t="shared" si="6"/>
        <v>9.5100000000000002E-4</v>
      </c>
      <c r="U26" s="245">
        <f t="shared" si="6"/>
        <v>9.5100000000000002E-4</v>
      </c>
      <c r="V26" s="245">
        <f t="shared" si="6"/>
        <v>9.5100000000000002E-4</v>
      </c>
      <c r="W26" s="187"/>
      <c r="X26" s="2"/>
      <c r="Y26" s="2"/>
      <c r="Z26" s="2"/>
      <c r="AA26" s="2"/>
      <c r="AB26" s="2"/>
      <c r="AC26" s="2"/>
      <c r="AD26" s="2"/>
      <c r="AE26" s="2"/>
      <c r="AF26" s="2"/>
      <c r="AG26" s="2"/>
      <c r="AH26" s="2"/>
      <c r="AI26" s="2"/>
      <c r="AJ26" s="2"/>
      <c r="AK26" s="2"/>
      <c r="AL26" s="2"/>
      <c r="AM26" s="2"/>
      <c r="AN26" s="2"/>
      <c r="AO26" s="2"/>
      <c r="AP26" s="2"/>
      <c r="AQ26" s="2"/>
      <c r="AR26" s="2"/>
      <c r="AS26" s="2"/>
      <c r="AT26" s="2"/>
      <c r="AU26" s="2"/>
      <c r="AV26" s="2"/>
    </row>
    <row r="27" spans="1:48" x14ac:dyDescent="0.35">
      <c r="A27" s="158" t="s">
        <v>57</v>
      </c>
      <c r="B27" s="230">
        <v>7.737E-3</v>
      </c>
      <c r="C27" s="262">
        <v>8.9540000000000002E-3</v>
      </c>
      <c r="D27" s="246">
        <v>6.6779999999999999E-3</v>
      </c>
      <c r="E27" s="246">
        <f t="shared" ref="E27:V27" si="7">D27</f>
        <v>6.6779999999999999E-3</v>
      </c>
      <c r="F27" s="246">
        <f t="shared" si="7"/>
        <v>6.6779999999999999E-3</v>
      </c>
      <c r="G27" s="246">
        <f t="shared" si="7"/>
        <v>6.6779999999999999E-3</v>
      </c>
      <c r="H27" s="246">
        <f t="shared" si="7"/>
        <v>6.6779999999999999E-3</v>
      </c>
      <c r="I27" s="246">
        <f t="shared" si="7"/>
        <v>6.6779999999999999E-3</v>
      </c>
      <c r="J27" s="246">
        <f t="shared" si="7"/>
        <v>6.6779999999999999E-3</v>
      </c>
      <c r="K27" s="246">
        <f t="shared" si="7"/>
        <v>6.6779999999999999E-3</v>
      </c>
      <c r="L27" s="246">
        <f t="shared" si="7"/>
        <v>6.6779999999999999E-3</v>
      </c>
      <c r="M27" s="246">
        <f t="shared" si="7"/>
        <v>6.6779999999999999E-3</v>
      </c>
      <c r="N27" s="246">
        <f t="shared" si="7"/>
        <v>6.6779999999999999E-3</v>
      </c>
      <c r="O27" s="246">
        <f t="shared" si="7"/>
        <v>6.6779999999999999E-3</v>
      </c>
      <c r="P27" s="246">
        <f t="shared" si="7"/>
        <v>6.6779999999999999E-3</v>
      </c>
      <c r="Q27" s="246">
        <f t="shared" si="7"/>
        <v>6.6779999999999999E-3</v>
      </c>
      <c r="R27" s="246">
        <f t="shared" si="7"/>
        <v>6.6779999999999999E-3</v>
      </c>
      <c r="S27" s="246">
        <f t="shared" si="7"/>
        <v>6.6779999999999999E-3</v>
      </c>
      <c r="T27" s="246">
        <f t="shared" si="7"/>
        <v>6.6779999999999999E-3</v>
      </c>
      <c r="U27" s="246">
        <f t="shared" si="7"/>
        <v>6.6779999999999999E-3</v>
      </c>
      <c r="V27" s="246">
        <f t="shared" si="7"/>
        <v>6.6779999999999999E-3</v>
      </c>
      <c r="W27" s="188"/>
      <c r="X27" s="2"/>
      <c r="Y27" s="2"/>
      <c r="Z27" s="2"/>
      <c r="AA27" s="2"/>
      <c r="AB27" s="2"/>
      <c r="AC27" s="2"/>
      <c r="AD27" s="2"/>
      <c r="AE27" s="2"/>
      <c r="AF27" s="2"/>
      <c r="AG27" s="2"/>
      <c r="AH27" s="2"/>
      <c r="AI27" s="2"/>
      <c r="AJ27" s="2"/>
      <c r="AK27" s="2"/>
      <c r="AL27" s="2"/>
      <c r="AM27" s="2"/>
      <c r="AN27" s="2"/>
      <c r="AO27" s="2"/>
      <c r="AP27" s="2"/>
      <c r="AQ27" s="2"/>
      <c r="AR27" s="2"/>
      <c r="AS27" s="2"/>
      <c r="AT27" s="2"/>
      <c r="AU27" s="2"/>
      <c r="AV27" s="2"/>
    </row>
    <row r="28" spans="1:48" x14ac:dyDescent="0.35">
      <c r="A28" s="158" t="s">
        <v>54</v>
      </c>
      <c r="B28" s="231">
        <v>2.0089999999999999E-3</v>
      </c>
      <c r="C28" s="263">
        <v>2.5539999999999998E-3</v>
      </c>
      <c r="D28" s="247">
        <v>2.3010000000000001E-3</v>
      </c>
      <c r="E28" s="247">
        <f t="shared" ref="E28:V28" si="8">D28</f>
        <v>2.3010000000000001E-3</v>
      </c>
      <c r="F28" s="247">
        <f t="shared" si="8"/>
        <v>2.3010000000000001E-3</v>
      </c>
      <c r="G28" s="247">
        <f t="shared" si="8"/>
        <v>2.3010000000000001E-3</v>
      </c>
      <c r="H28" s="247">
        <f t="shared" si="8"/>
        <v>2.3010000000000001E-3</v>
      </c>
      <c r="I28" s="247">
        <f t="shared" si="8"/>
        <v>2.3010000000000001E-3</v>
      </c>
      <c r="J28" s="247">
        <f t="shared" si="8"/>
        <v>2.3010000000000001E-3</v>
      </c>
      <c r="K28" s="247">
        <f t="shared" si="8"/>
        <v>2.3010000000000001E-3</v>
      </c>
      <c r="L28" s="247">
        <f t="shared" si="8"/>
        <v>2.3010000000000001E-3</v>
      </c>
      <c r="M28" s="247">
        <f t="shared" si="8"/>
        <v>2.3010000000000001E-3</v>
      </c>
      <c r="N28" s="247">
        <f t="shared" si="8"/>
        <v>2.3010000000000001E-3</v>
      </c>
      <c r="O28" s="247">
        <f t="shared" si="8"/>
        <v>2.3010000000000001E-3</v>
      </c>
      <c r="P28" s="247">
        <f t="shared" si="8"/>
        <v>2.3010000000000001E-3</v>
      </c>
      <c r="Q28" s="247">
        <f t="shared" si="8"/>
        <v>2.3010000000000001E-3</v>
      </c>
      <c r="R28" s="247">
        <f t="shared" si="8"/>
        <v>2.3010000000000001E-3</v>
      </c>
      <c r="S28" s="247">
        <f t="shared" si="8"/>
        <v>2.3010000000000001E-3</v>
      </c>
      <c r="T28" s="247">
        <f t="shared" si="8"/>
        <v>2.3010000000000001E-3</v>
      </c>
      <c r="U28" s="247">
        <f t="shared" si="8"/>
        <v>2.3010000000000001E-3</v>
      </c>
      <c r="V28" s="247">
        <f t="shared" si="8"/>
        <v>2.3010000000000001E-3</v>
      </c>
      <c r="W28" s="188"/>
      <c r="X28" s="2"/>
      <c r="Y28" s="2"/>
      <c r="Z28" s="2"/>
      <c r="AA28" s="2"/>
      <c r="AB28" s="2"/>
      <c r="AC28" s="2"/>
      <c r="AD28" s="2"/>
      <c r="AE28" s="2"/>
      <c r="AF28" s="2"/>
      <c r="AG28" s="2"/>
      <c r="AH28" s="2"/>
      <c r="AI28" s="2"/>
      <c r="AJ28" s="2"/>
      <c r="AK28" s="2"/>
      <c r="AL28" s="2"/>
      <c r="AM28" s="2"/>
      <c r="AN28" s="2"/>
      <c r="AO28" s="2"/>
      <c r="AP28" s="2"/>
      <c r="AQ28" s="2"/>
      <c r="AR28" s="2"/>
      <c r="AS28" s="2"/>
      <c r="AT28" s="2"/>
      <c r="AU28" s="2"/>
      <c r="AV28" s="2"/>
    </row>
    <row r="29" spans="1:48" s="168" customFormat="1" ht="15" customHeight="1" x14ac:dyDescent="0.3">
      <c r="A29" s="170" t="s">
        <v>11</v>
      </c>
      <c r="B29" s="224">
        <f t="shared" ref="B29:U29" si="9">SUM(B26:B28)</f>
        <v>1.089E-2</v>
      </c>
      <c r="C29" s="253">
        <f t="shared" si="9"/>
        <v>1.2763E-2</v>
      </c>
      <c r="D29" s="248">
        <f t="shared" si="9"/>
        <v>9.9300000000000013E-3</v>
      </c>
      <c r="E29" s="248">
        <f t="shared" si="9"/>
        <v>9.9300000000000013E-3</v>
      </c>
      <c r="F29" s="248">
        <f t="shared" si="9"/>
        <v>9.9300000000000013E-3</v>
      </c>
      <c r="G29" s="248">
        <f t="shared" si="9"/>
        <v>9.9300000000000013E-3</v>
      </c>
      <c r="H29" s="248">
        <f t="shared" si="9"/>
        <v>9.9300000000000013E-3</v>
      </c>
      <c r="I29" s="248">
        <f t="shared" si="9"/>
        <v>9.9300000000000013E-3</v>
      </c>
      <c r="J29" s="248">
        <f t="shared" si="9"/>
        <v>9.9300000000000013E-3</v>
      </c>
      <c r="K29" s="248">
        <f t="shared" si="9"/>
        <v>9.9300000000000013E-3</v>
      </c>
      <c r="L29" s="248">
        <f t="shared" si="9"/>
        <v>9.9300000000000013E-3</v>
      </c>
      <c r="M29" s="248">
        <f t="shared" si="9"/>
        <v>9.9300000000000013E-3</v>
      </c>
      <c r="N29" s="248">
        <f t="shared" si="9"/>
        <v>9.9300000000000013E-3</v>
      </c>
      <c r="O29" s="248">
        <f t="shared" si="9"/>
        <v>9.9300000000000013E-3</v>
      </c>
      <c r="P29" s="248">
        <f t="shared" si="9"/>
        <v>9.9300000000000013E-3</v>
      </c>
      <c r="Q29" s="248">
        <f t="shared" si="9"/>
        <v>9.9300000000000013E-3</v>
      </c>
      <c r="R29" s="248">
        <f t="shared" si="9"/>
        <v>9.9300000000000013E-3</v>
      </c>
      <c r="S29" s="248">
        <f t="shared" si="9"/>
        <v>9.9300000000000013E-3</v>
      </c>
      <c r="T29" s="248">
        <f t="shared" si="9"/>
        <v>9.9300000000000013E-3</v>
      </c>
      <c r="U29" s="248">
        <f t="shared" si="9"/>
        <v>9.9300000000000013E-3</v>
      </c>
      <c r="V29" s="248">
        <f t="shared" ref="V29" si="10">SUM(V26:V28)</f>
        <v>9.9300000000000013E-3</v>
      </c>
      <c r="W29" s="171"/>
    </row>
    <row r="30" spans="1:48" ht="17" hidden="1" thickBot="1" x14ac:dyDescent="0.55000000000000004">
      <c r="A30" s="19"/>
      <c r="B30" s="20"/>
      <c r="C30" s="254"/>
      <c r="D30" s="20"/>
      <c r="E30" s="20"/>
      <c r="F30" s="20"/>
      <c r="G30" s="20"/>
      <c r="H30" s="20"/>
      <c r="I30" s="20"/>
      <c r="J30" s="20"/>
      <c r="K30" s="20"/>
      <c r="L30" s="20"/>
      <c r="M30" s="20"/>
      <c r="N30" s="20"/>
      <c r="O30" s="20"/>
      <c r="P30" s="20"/>
      <c r="Q30" s="20"/>
      <c r="R30" s="20"/>
      <c r="S30" s="20"/>
      <c r="T30" s="20"/>
      <c r="U30" s="20"/>
      <c r="V30" s="20"/>
      <c r="W30" s="189"/>
      <c r="X30" s="21"/>
      <c r="Y30" s="2"/>
      <c r="Z30" s="2"/>
      <c r="AA30" s="2"/>
      <c r="AB30" s="2"/>
      <c r="AC30" s="2"/>
      <c r="AD30" s="2"/>
      <c r="AE30" s="2"/>
      <c r="AF30" s="2"/>
      <c r="AG30" s="2"/>
      <c r="AH30" s="2"/>
      <c r="AI30" s="2"/>
      <c r="AJ30" s="2"/>
      <c r="AK30" s="2"/>
      <c r="AL30" s="2"/>
      <c r="AM30" s="2"/>
      <c r="AN30" s="2"/>
      <c r="AO30" s="2"/>
      <c r="AP30" s="2"/>
      <c r="AQ30" s="2"/>
      <c r="AR30" s="2"/>
      <c r="AS30" s="2"/>
      <c r="AT30" s="2"/>
      <c r="AU30" s="2"/>
      <c r="AV30" s="2"/>
    </row>
    <row r="31" spans="1:48" x14ac:dyDescent="0.35">
      <c r="A31" s="156" t="s">
        <v>12</v>
      </c>
      <c r="B31" s="157"/>
      <c r="C31" s="156"/>
      <c r="D31" s="157"/>
      <c r="E31" s="157"/>
      <c r="F31" s="157"/>
      <c r="G31" s="157"/>
      <c r="H31" s="157"/>
      <c r="I31" s="157"/>
      <c r="J31" s="157"/>
      <c r="K31" s="157"/>
      <c r="L31" s="157"/>
      <c r="M31" s="157"/>
      <c r="N31" s="157"/>
      <c r="O31" s="157"/>
      <c r="P31" s="157"/>
      <c r="Q31" s="157"/>
      <c r="R31" s="157"/>
      <c r="S31" s="157"/>
      <c r="T31" s="157"/>
      <c r="U31" s="157"/>
      <c r="V31" s="157"/>
      <c r="W31" s="156"/>
      <c r="X31" s="2"/>
      <c r="Y31" s="2"/>
      <c r="Z31" s="2"/>
      <c r="AA31" s="2"/>
      <c r="AB31" s="2"/>
      <c r="AC31" s="2"/>
      <c r="AD31" s="2"/>
      <c r="AE31" s="2"/>
      <c r="AF31" s="2"/>
      <c r="AG31" s="2"/>
      <c r="AH31" s="2"/>
      <c r="AI31" s="2"/>
      <c r="AJ31" s="2"/>
      <c r="AK31" s="2"/>
      <c r="AL31" s="2"/>
      <c r="AM31" s="2"/>
      <c r="AN31" s="2"/>
      <c r="AO31" s="2"/>
      <c r="AP31" s="2"/>
      <c r="AQ31" s="2"/>
      <c r="AR31" s="2"/>
      <c r="AS31" s="2"/>
      <c r="AT31" s="2"/>
      <c r="AU31" s="2"/>
      <c r="AV31" s="2"/>
    </row>
    <row r="32" spans="1:48" x14ac:dyDescent="0.35">
      <c r="A32" s="158" t="s">
        <v>53</v>
      </c>
      <c r="B32" s="159"/>
      <c r="C32" s="195">
        <f t="shared" ref="C32:D34" si="11">((C$14-C$19)*C26)+((C$15-C$20)*B26)+((C$16-C$21)*C26)</f>
        <v>15869.264160000001</v>
      </c>
      <c r="D32" s="160">
        <f t="shared" si="11"/>
        <v>18984.924267000002</v>
      </c>
      <c r="E32" s="160">
        <f t="shared" ref="E32:U32" si="12">((E$14-E$19)*E26)+((E$15-E$20)*D26)+((E$16-E$21)*E26)</f>
        <v>26236.299267000002</v>
      </c>
      <c r="F32" s="160">
        <f t="shared" si="12"/>
        <v>26236.299267000002</v>
      </c>
      <c r="G32" s="160">
        <f t="shared" si="12"/>
        <v>33487.674267000002</v>
      </c>
      <c r="H32" s="160">
        <f t="shared" si="12"/>
        <v>33487.674267000002</v>
      </c>
      <c r="I32" s="160">
        <f t="shared" si="12"/>
        <v>33487.674267000002</v>
      </c>
      <c r="J32" s="160">
        <f t="shared" si="12"/>
        <v>33487.674267000002</v>
      </c>
      <c r="K32" s="160">
        <f t="shared" si="12"/>
        <v>33487.674267000002</v>
      </c>
      <c r="L32" s="160">
        <f t="shared" si="12"/>
        <v>33487.674267000002</v>
      </c>
      <c r="M32" s="160">
        <f t="shared" si="12"/>
        <v>33487.674267000002</v>
      </c>
      <c r="N32" s="160">
        <f t="shared" si="12"/>
        <v>33487.674267000002</v>
      </c>
      <c r="O32" s="160">
        <f t="shared" si="12"/>
        <v>33487.674267000002</v>
      </c>
      <c r="P32" s="160">
        <f t="shared" si="12"/>
        <v>33487.674267000002</v>
      </c>
      <c r="Q32" s="160">
        <f t="shared" si="12"/>
        <v>33487.674267000002</v>
      </c>
      <c r="R32" s="160">
        <f t="shared" si="12"/>
        <v>33487.674267000002</v>
      </c>
      <c r="S32" s="160">
        <f t="shared" si="12"/>
        <v>33487.674267000002</v>
      </c>
      <c r="T32" s="160">
        <f t="shared" si="12"/>
        <v>33487.674267000002</v>
      </c>
      <c r="U32" s="160">
        <f t="shared" si="12"/>
        <v>33487.674267000002</v>
      </c>
      <c r="V32" s="160">
        <f t="shared" ref="V32" si="13">((V$14-V$19)*V26)+((V$15-V$20)*U26)+((V$16-V$21)*V26)</f>
        <v>33487.674267000002</v>
      </c>
      <c r="W32" s="183">
        <f>SUM(C32:V32)</f>
        <v>623129.5752330001</v>
      </c>
      <c r="X32" s="2"/>
      <c r="Y32" s="138"/>
      <c r="Z32" s="139"/>
      <c r="AA32" s="139"/>
      <c r="AB32" s="2"/>
      <c r="AC32" s="2"/>
      <c r="AD32" s="2"/>
      <c r="AE32" s="2"/>
      <c r="AF32" s="2"/>
      <c r="AG32" s="2"/>
      <c r="AH32" s="2"/>
      <c r="AI32" s="2"/>
      <c r="AJ32" s="2"/>
      <c r="AK32" s="2"/>
      <c r="AL32" s="2"/>
      <c r="AM32" s="2"/>
      <c r="AN32" s="2"/>
      <c r="AO32" s="2"/>
      <c r="AP32" s="2"/>
      <c r="AQ32" s="2"/>
      <c r="AR32" s="2"/>
      <c r="AS32" s="2"/>
      <c r="AT32" s="2"/>
      <c r="AU32" s="2"/>
      <c r="AV32" s="2"/>
    </row>
    <row r="33" spans="1:48" x14ac:dyDescent="0.35">
      <c r="A33" s="158" t="str">
        <f>A27</f>
        <v>Tooele County School District</v>
      </c>
      <c r="B33" s="162"/>
      <c r="C33" s="196">
        <f t="shared" si="11"/>
        <v>113221.825728</v>
      </c>
      <c r="D33" s="163">
        <f t="shared" si="11"/>
        <v>133313.69532600002</v>
      </c>
      <c r="E33" s="163">
        <f t="shared" ref="E33:U33" si="14">((E$14-E$19)*E27)+((E$15-E$20)*D27)+((E$16-E$21)*E27)</f>
        <v>184233.44532600002</v>
      </c>
      <c r="F33" s="163">
        <f t="shared" si="14"/>
        <v>184233.44532600002</v>
      </c>
      <c r="G33" s="163">
        <f t="shared" si="14"/>
        <v>235153.19532600002</v>
      </c>
      <c r="H33" s="163">
        <f t="shared" si="14"/>
        <v>235153.19532600002</v>
      </c>
      <c r="I33" s="163">
        <f t="shared" si="14"/>
        <v>235153.19532600002</v>
      </c>
      <c r="J33" s="163">
        <f t="shared" si="14"/>
        <v>235153.19532600002</v>
      </c>
      <c r="K33" s="163">
        <f t="shared" si="14"/>
        <v>235153.19532600002</v>
      </c>
      <c r="L33" s="163">
        <f t="shared" si="14"/>
        <v>235153.19532600002</v>
      </c>
      <c r="M33" s="163">
        <f t="shared" si="14"/>
        <v>235153.19532600002</v>
      </c>
      <c r="N33" s="163">
        <f t="shared" si="14"/>
        <v>235153.19532600002</v>
      </c>
      <c r="O33" s="163">
        <f t="shared" si="14"/>
        <v>235153.19532600002</v>
      </c>
      <c r="P33" s="163">
        <f t="shared" si="14"/>
        <v>235153.19532600002</v>
      </c>
      <c r="Q33" s="163">
        <f t="shared" si="14"/>
        <v>235153.19532600002</v>
      </c>
      <c r="R33" s="163">
        <f t="shared" si="14"/>
        <v>235153.19532600002</v>
      </c>
      <c r="S33" s="163">
        <f t="shared" si="14"/>
        <v>235153.19532600002</v>
      </c>
      <c r="T33" s="163">
        <f t="shared" si="14"/>
        <v>235153.19532600002</v>
      </c>
      <c r="U33" s="163">
        <f t="shared" si="14"/>
        <v>235153.19532600002</v>
      </c>
      <c r="V33" s="163">
        <f t="shared" ref="V33" si="15">((V$14-V$19)*V27)+((V$15-V$20)*U27)+((V$16-V$21)*V27)</f>
        <v>235153.19532600002</v>
      </c>
      <c r="W33" s="184">
        <f>SUM(C33:V33)</f>
        <v>4377453.5369220003</v>
      </c>
      <c r="X33" s="2"/>
      <c r="Y33" s="2"/>
      <c r="Z33" s="2"/>
      <c r="AA33" s="2"/>
      <c r="AB33" s="2"/>
      <c r="AC33" s="2"/>
      <c r="AD33" s="2"/>
      <c r="AE33" s="2"/>
      <c r="AF33" s="2"/>
      <c r="AG33" s="2"/>
      <c r="AH33" s="2"/>
      <c r="AI33" s="2"/>
      <c r="AJ33" s="2"/>
      <c r="AK33" s="2"/>
      <c r="AL33" s="2"/>
      <c r="AM33" s="2"/>
      <c r="AN33" s="2"/>
      <c r="AO33" s="2"/>
      <c r="AP33" s="2"/>
      <c r="AQ33" s="2"/>
      <c r="AR33" s="2"/>
      <c r="AS33" s="2"/>
      <c r="AT33" s="2"/>
      <c r="AU33" s="2"/>
      <c r="AV33" s="2"/>
    </row>
    <row r="34" spans="1:48" x14ac:dyDescent="0.35">
      <c r="A34" s="158" t="s">
        <v>54</v>
      </c>
      <c r="B34" s="162"/>
      <c r="C34" s="196">
        <f t="shared" si="11"/>
        <v>32294.900927999999</v>
      </c>
      <c r="D34" s="163">
        <f t="shared" si="11"/>
        <v>45935.132217000006</v>
      </c>
      <c r="E34" s="163">
        <f t="shared" ref="E34:U34" si="16">((E$14-E$19)*E28)+((E$15-E$20)*D28)+((E$16-E$21)*E28)</f>
        <v>63480.257217000006</v>
      </c>
      <c r="F34" s="163">
        <f t="shared" si="16"/>
        <v>63480.257217000006</v>
      </c>
      <c r="G34" s="163">
        <f t="shared" si="16"/>
        <v>81025.382216999991</v>
      </c>
      <c r="H34" s="163">
        <f t="shared" si="16"/>
        <v>81025.382216999991</v>
      </c>
      <c r="I34" s="163">
        <f t="shared" si="16"/>
        <v>81025.382216999991</v>
      </c>
      <c r="J34" s="163">
        <f t="shared" si="16"/>
        <v>81025.382216999991</v>
      </c>
      <c r="K34" s="163">
        <f t="shared" si="16"/>
        <v>81025.382216999991</v>
      </c>
      <c r="L34" s="163">
        <f t="shared" si="16"/>
        <v>81025.382216999991</v>
      </c>
      <c r="M34" s="163">
        <f t="shared" si="16"/>
        <v>81025.382216999991</v>
      </c>
      <c r="N34" s="163">
        <f t="shared" si="16"/>
        <v>81025.382216999991</v>
      </c>
      <c r="O34" s="163">
        <f t="shared" si="16"/>
        <v>81025.382216999991</v>
      </c>
      <c r="P34" s="163">
        <f t="shared" si="16"/>
        <v>81025.382216999991</v>
      </c>
      <c r="Q34" s="163">
        <f t="shared" si="16"/>
        <v>81025.382216999991</v>
      </c>
      <c r="R34" s="163">
        <f t="shared" si="16"/>
        <v>81025.382216999991</v>
      </c>
      <c r="S34" s="163">
        <f t="shared" si="16"/>
        <v>81025.382216999991</v>
      </c>
      <c r="T34" s="163">
        <f t="shared" si="16"/>
        <v>81025.382216999991</v>
      </c>
      <c r="U34" s="163">
        <f t="shared" si="16"/>
        <v>81025.382216999991</v>
      </c>
      <c r="V34" s="163">
        <f t="shared" ref="V34" si="17">((V$14-V$19)*V28)+((V$15-V$20)*U28)+((V$16-V$21)*V28)</f>
        <v>81025.382216999991</v>
      </c>
      <c r="W34" s="184">
        <f>SUM(C34:V34)</f>
        <v>1501596.6630510001</v>
      </c>
      <c r="X34" s="2"/>
      <c r="Y34" s="2"/>
      <c r="Z34" s="2"/>
      <c r="AA34" s="2"/>
      <c r="AB34" s="2"/>
      <c r="AC34" s="2"/>
      <c r="AD34" s="2"/>
      <c r="AE34" s="2"/>
      <c r="AF34" s="2"/>
      <c r="AG34" s="2"/>
      <c r="AH34" s="2"/>
      <c r="AI34" s="2"/>
      <c r="AJ34" s="2"/>
      <c r="AK34" s="2"/>
      <c r="AL34" s="2"/>
      <c r="AM34" s="2"/>
      <c r="AN34" s="2"/>
      <c r="AO34" s="2"/>
      <c r="AP34" s="2"/>
      <c r="AQ34" s="2"/>
      <c r="AR34" s="2"/>
      <c r="AS34" s="2"/>
      <c r="AT34" s="2"/>
      <c r="AU34" s="2"/>
      <c r="AV34" s="2"/>
    </row>
    <row r="35" spans="1:48" x14ac:dyDescent="0.35">
      <c r="A35" s="170" t="s">
        <v>13</v>
      </c>
      <c r="B35" s="166"/>
      <c r="C35" s="182">
        <f>SUM(C32:C34)</f>
        <v>161385.990816</v>
      </c>
      <c r="D35" s="225">
        <f>SUM(D32:D34)</f>
        <v>198233.75181000002</v>
      </c>
      <c r="E35" s="225">
        <f t="shared" ref="E35:V35" si="18">SUM(E32:E34)</f>
        <v>273950.00181000005</v>
      </c>
      <c r="F35" s="225">
        <f t="shared" si="18"/>
        <v>273950.00181000005</v>
      </c>
      <c r="G35" s="225">
        <f t="shared" si="18"/>
        <v>349666.25181000005</v>
      </c>
      <c r="H35" s="225">
        <f t="shared" si="18"/>
        <v>349666.25181000005</v>
      </c>
      <c r="I35" s="225">
        <f t="shared" si="18"/>
        <v>349666.25181000005</v>
      </c>
      <c r="J35" s="225">
        <f t="shared" si="18"/>
        <v>349666.25181000005</v>
      </c>
      <c r="K35" s="225">
        <f t="shared" si="18"/>
        <v>349666.25181000005</v>
      </c>
      <c r="L35" s="225">
        <f t="shared" si="18"/>
        <v>349666.25181000005</v>
      </c>
      <c r="M35" s="225">
        <f t="shared" si="18"/>
        <v>349666.25181000005</v>
      </c>
      <c r="N35" s="225">
        <f t="shared" si="18"/>
        <v>349666.25181000005</v>
      </c>
      <c r="O35" s="225">
        <f t="shared" si="18"/>
        <v>349666.25181000005</v>
      </c>
      <c r="P35" s="225">
        <f t="shared" si="18"/>
        <v>349666.25181000005</v>
      </c>
      <c r="Q35" s="225">
        <f t="shared" si="18"/>
        <v>349666.25181000005</v>
      </c>
      <c r="R35" s="225">
        <f t="shared" si="18"/>
        <v>349666.25181000005</v>
      </c>
      <c r="S35" s="225">
        <f t="shared" si="18"/>
        <v>349666.25181000005</v>
      </c>
      <c r="T35" s="225">
        <f t="shared" si="18"/>
        <v>349666.25181000005</v>
      </c>
      <c r="U35" s="225">
        <f t="shared" si="18"/>
        <v>349666.25181000005</v>
      </c>
      <c r="V35" s="225">
        <f t="shared" si="18"/>
        <v>349666.25181000005</v>
      </c>
      <c r="W35" s="182">
        <f>SUM(W32:W34)</f>
        <v>6502179.7752060005</v>
      </c>
      <c r="X35" s="2"/>
      <c r="Y35" s="2"/>
      <c r="Z35" s="2"/>
      <c r="AA35" s="2"/>
      <c r="AB35" s="2"/>
      <c r="AC35" s="2"/>
      <c r="AD35" s="2"/>
      <c r="AE35" s="2"/>
      <c r="AF35" s="2"/>
      <c r="AG35" s="2"/>
      <c r="AH35" s="2"/>
      <c r="AI35" s="2"/>
      <c r="AJ35" s="2"/>
      <c r="AK35" s="2"/>
      <c r="AL35" s="2"/>
      <c r="AM35" s="2"/>
      <c r="AN35" s="2"/>
      <c r="AO35" s="2"/>
      <c r="AP35" s="2"/>
      <c r="AQ35" s="2"/>
      <c r="AR35" s="2"/>
      <c r="AS35" s="2"/>
      <c r="AT35" s="2"/>
      <c r="AU35" s="2"/>
      <c r="AV35" s="2"/>
    </row>
    <row r="36" spans="1:48" hidden="1" x14ac:dyDescent="0.35">
      <c r="A36" s="3"/>
      <c r="B36" s="3"/>
      <c r="C36" s="255"/>
      <c r="D36" s="3"/>
      <c r="E36" s="3"/>
      <c r="F36" s="3"/>
      <c r="G36" s="3"/>
      <c r="H36" s="3"/>
      <c r="I36" s="3"/>
      <c r="J36" s="3"/>
      <c r="K36" s="3"/>
      <c r="L36" s="3"/>
      <c r="M36" s="3"/>
      <c r="N36" s="3"/>
      <c r="O36" s="3"/>
      <c r="P36" s="3"/>
      <c r="Q36" s="3"/>
      <c r="R36" s="3"/>
      <c r="S36" s="3"/>
      <c r="T36" s="3"/>
      <c r="U36" s="3"/>
      <c r="V36" s="3"/>
      <c r="W36" s="190">
        <f>SUM(U36:U36)</f>
        <v>0</v>
      </c>
      <c r="X36" s="2"/>
      <c r="Y36" s="2"/>
      <c r="Z36" s="2"/>
      <c r="AA36" s="2"/>
      <c r="AB36" s="2"/>
      <c r="AC36" s="2"/>
      <c r="AD36" s="2"/>
      <c r="AE36" s="2"/>
      <c r="AF36" s="2"/>
      <c r="AG36" s="2"/>
      <c r="AH36" s="2"/>
      <c r="AI36" s="2"/>
      <c r="AJ36" s="2"/>
      <c r="AK36" s="2"/>
      <c r="AL36" s="2"/>
      <c r="AM36" s="2"/>
      <c r="AN36" s="2"/>
      <c r="AO36" s="2"/>
      <c r="AP36" s="2"/>
      <c r="AQ36" s="2"/>
      <c r="AR36" s="2"/>
      <c r="AS36" s="2"/>
      <c r="AT36" s="2"/>
      <c r="AU36" s="2"/>
      <c r="AV36" s="2"/>
    </row>
    <row r="37" spans="1:48" s="35" customFormat="1" ht="15" customHeight="1" x14ac:dyDescent="0.3">
      <c r="A37" s="156" t="s">
        <v>95</v>
      </c>
      <c r="B37" s="157"/>
      <c r="C37" s="156"/>
      <c r="D37" s="157"/>
      <c r="E37" s="157"/>
      <c r="F37" s="157"/>
      <c r="G37" s="157"/>
      <c r="H37" s="157"/>
      <c r="I37" s="157"/>
      <c r="J37" s="157"/>
      <c r="K37" s="157"/>
      <c r="L37" s="157"/>
      <c r="M37" s="157"/>
      <c r="N37" s="157"/>
      <c r="O37" s="157"/>
      <c r="P37" s="157"/>
      <c r="Q37" s="157"/>
      <c r="R37" s="157"/>
      <c r="S37" s="157"/>
      <c r="T37" s="157"/>
      <c r="U37" s="157"/>
      <c r="V37" s="157"/>
      <c r="W37" s="156"/>
    </row>
    <row r="38" spans="1:48" outlineLevel="1" x14ac:dyDescent="0.35">
      <c r="A38" s="158" t="s">
        <v>53</v>
      </c>
      <c r="B38" s="173"/>
      <c r="C38" s="198">
        <v>0.75</v>
      </c>
      <c r="D38" s="174">
        <f>C38</f>
        <v>0.75</v>
      </c>
      <c r="E38" s="174">
        <f t="shared" ref="E38:V39" si="19">D38</f>
        <v>0.75</v>
      </c>
      <c r="F38" s="174">
        <f t="shared" si="19"/>
        <v>0.75</v>
      </c>
      <c r="G38" s="174">
        <f t="shared" si="19"/>
        <v>0.75</v>
      </c>
      <c r="H38" s="174">
        <f t="shared" si="19"/>
        <v>0.75</v>
      </c>
      <c r="I38" s="174">
        <f t="shared" si="19"/>
        <v>0.75</v>
      </c>
      <c r="J38" s="174">
        <f t="shared" si="19"/>
        <v>0.75</v>
      </c>
      <c r="K38" s="174">
        <f t="shared" si="19"/>
        <v>0.75</v>
      </c>
      <c r="L38" s="174">
        <f t="shared" si="19"/>
        <v>0.75</v>
      </c>
      <c r="M38" s="174">
        <f t="shared" si="19"/>
        <v>0.75</v>
      </c>
      <c r="N38" s="174">
        <f t="shared" si="19"/>
        <v>0.75</v>
      </c>
      <c r="O38" s="174">
        <f t="shared" si="19"/>
        <v>0.75</v>
      </c>
      <c r="P38" s="174">
        <f t="shared" si="19"/>
        <v>0.75</v>
      </c>
      <c r="Q38" s="174">
        <f t="shared" si="19"/>
        <v>0.75</v>
      </c>
      <c r="R38" s="174">
        <f t="shared" si="19"/>
        <v>0.75</v>
      </c>
      <c r="S38" s="174">
        <f t="shared" si="19"/>
        <v>0.75</v>
      </c>
      <c r="T38" s="174">
        <f t="shared" si="19"/>
        <v>0.75</v>
      </c>
      <c r="U38" s="174">
        <f t="shared" si="19"/>
        <v>0.75</v>
      </c>
      <c r="V38" s="174">
        <f t="shared" si="19"/>
        <v>0.75</v>
      </c>
      <c r="W38" s="191"/>
      <c r="X38" s="2"/>
      <c r="Y38" s="2"/>
      <c r="Z38" s="2"/>
      <c r="AA38" s="2"/>
      <c r="AB38" s="2"/>
      <c r="AC38" s="2"/>
      <c r="AD38" s="2"/>
      <c r="AE38" s="2"/>
      <c r="AF38" s="2"/>
      <c r="AG38" s="2"/>
      <c r="AH38" s="2"/>
      <c r="AI38" s="2"/>
      <c r="AJ38" s="2"/>
      <c r="AK38" s="2"/>
      <c r="AL38" s="2"/>
      <c r="AM38" s="2"/>
      <c r="AN38" s="2"/>
      <c r="AO38" s="2"/>
      <c r="AP38" s="2"/>
      <c r="AQ38" s="2"/>
      <c r="AR38" s="2"/>
      <c r="AS38" s="2"/>
      <c r="AT38" s="2"/>
      <c r="AU38" s="2"/>
      <c r="AV38" s="2"/>
    </row>
    <row r="39" spans="1:48" outlineLevel="1" x14ac:dyDescent="0.35">
      <c r="A39" s="158" t="s">
        <v>57</v>
      </c>
      <c r="B39" s="175"/>
      <c r="C39" s="199">
        <v>0.5</v>
      </c>
      <c r="D39" s="176">
        <f>C39</f>
        <v>0.5</v>
      </c>
      <c r="E39" s="176">
        <f t="shared" ref="E39:Q39" si="20">D39</f>
        <v>0.5</v>
      </c>
      <c r="F39" s="176">
        <f t="shared" si="20"/>
        <v>0.5</v>
      </c>
      <c r="G39" s="176">
        <f t="shared" si="20"/>
        <v>0.5</v>
      </c>
      <c r="H39" s="176">
        <f t="shared" si="20"/>
        <v>0.5</v>
      </c>
      <c r="I39" s="176">
        <f t="shared" si="20"/>
        <v>0.5</v>
      </c>
      <c r="J39" s="176">
        <f t="shared" si="20"/>
        <v>0.5</v>
      </c>
      <c r="K39" s="176">
        <f t="shared" si="20"/>
        <v>0.5</v>
      </c>
      <c r="L39" s="176">
        <f t="shared" si="20"/>
        <v>0.5</v>
      </c>
      <c r="M39" s="176">
        <f t="shared" si="20"/>
        <v>0.5</v>
      </c>
      <c r="N39" s="176">
        <f t="shared" si="20"/>
        <v>0.5</v>
      </c>
      <c r="O39" s="176">
        <f t="shared" si="20"/>
        <v>0.5</v>
      </c>
      <c r="P39" s="176">
        <f t="shared" si="20"/>
        <v>0.5</v>
      </c>
      <c r="Q39" s="176">
        <f t="shared" si="20"/>
        <v>0.5</v>
      </c>
      <c r="R39" s="176">
        <f t="shared" si="19"/>
        <v>0.5</v>
      </c>
      <c r="S39" s="176">
        <f t="shared" si="19"/>
        <v>0.5</v>
      </c>
      <c r="T39" s="176">
        <f t="shared" si="19"/>
        <v>0.5</v>
      </c>
      <c r="U39" s="176">
        <f t="shared" si="19"/>
        <v>0.5</v>
      </c>
      <c r="V39" s="176">
        <f t="shared" si="19"/>
        <v>0.5</v>
      </c>
      <c r="W39" s="192"/>
      <c r="X39" s="2"/>
      <c r="Y39" s="2"/>
      <c r="Z39" s="2"/>
      <c r="AA39" s="2"/>
      <c r="AB39" s="2"/>
      <c r="AC39" s="2"/>
      <c r="AD39" s="2"/>
      <c r="AE39" s="2"/>
      <c r="AF39" s="2"/>
      <c r="AG39" s="2"/>
      <c r="AH39" s="2"/>
      <c r="AI39" s="2"/>
      <c r="AJ39" s="2"/>
      <c r="AK39" s="2"/>
      <c r="AL39" s="2"/>
      <c r="AM39" s="2"/>
      <c r="AN39" s="2"/>
      <c r="AO39" s="2"/>
      <c r="AP39" s="2"/>
      <c r="AQ39" s="2"/>
      <c r="AR39" s="2"/>
      <c r="AS39" s="2"/>
      <c r="AT39" s="2"/>
      <c r="AU39" s="2"/>
      <c r="AV39" s="2"/>
    </row>
    <row r="40" spans="1:48" outlineLevel="1" x14ac:dyDescent="0.35">
      <c r="A40" s="172" t="s">
        <v>54</v>
      </c>
      <c r="B40" s="177"/>
      <c r="C40" s="200">
        <v>0.75</v>
      </c>
      <c r="D40" s="178">
        <f>C40</f>
        <v>0.75</v>
      </c>
      <c r="E40" s="178">
        <f t="shared" ref="E40:V40" si="21">D40</f>
        <v>0.75</v>
      </c>
      <c r="F40" s="178">
        <f t="shared" si="21"/>
        <v>0.75</v>
      </c>
      <c r="G40" s="178">
        <f t="shared" si="21"/>
        <v>0.75</v>
      </c>
      <c r="H40" s="178">
        <f t="shared" si="21"/>
        <v>0.75</v>
      </c>
      <c r="I40" s="178">
        <f t="shared" si="21"/>
        <v>0.75</v>
      </c>
      <c r="J40" s="178">
        <f t="shared" si="21"/>
        <v>0.75</v>
      </c>
      <c r="K40" s="178">
        <f t="shared" si="21"/>
        <v>0.75</v>
      </c>
      <c r="L40" s="178">
        <f t="shared" si="21"/>
        <v>0.75</v>
      </c>
      <c r="M40" s="178">
        <f t="shared" si="21"/>
        <v>0.75</v>
      </c>
      <c r="N40" s="178">
        <f t="shared" si="21"/>
        <v>0.75</v>
      </c>
      <c r="O40" s="178">
        <f t="shared" si="21"/>
        <v>0.75</v>
      </c>
      <c r="P40" s="178">
        <f t="shared" si="21"/>
        <v>0.75</v>
      </c>
      <c r="Q40" s="178">
        <f t="shared" si="21"/>
        <v>0.75</v>
      </c>
      <c r="R40" s="178">
        <f t="shared" si="21"/>
        <v>0.75</v>
      </c>
      <c r="S40" s="178">
        <f t="shared" si="21"/>
        <v>0.75</v>
      </c>
      <c r="T40" s="178">
        <f t="shared" si="21"/>
        <v>0.75</v>
      </c>
      <c r="U40" s="178">
        <f t="shared" si="21"/>
        <v>0.75</v>
      </c>
      <c r="V40" s="178">
        <f t="shared" si="21"/>
        <v>0.75</v>
      </c>
      <c r="W40" s="193"/>
      <c r="X40" s="2"/>
      <c r="Y40" s="2"/>
      <c r="Z40" s="2"/>
      <c r="AA40" s="2"/>
      <c r="AB40" s="2"/>
      <c r="AC40" s="2"/>
      <c r="AD40" s="2"/>
      <c r="AE40" s="2"/>
      <c r="AF40" s="2"/>
      <c r="AG40" s="2"/>
      <c r="AH40" s="2"/>
      <c r="AI40" s="2"/>
      <c r="AJ40" s="2"/>
      <c r="AK40" s="2"/>
      <c r="AL40" s="2"/>
      <c r="AM40" s="2"/>
      <c r="AN40" s="2"/>
      <c r="AO40" s="2"/>
      <c r="AP40" s="2"/>
      <c r="AQ40" s="2"/>
      <c r="AR40" s="2"/>
      <c r="AS40" s="2"/>
      <c r="AT40" s="2"/>
      <c r="AU40" s="2"/>
      <c r="AV40" s="2"/>
    </row>
    <row r="41" spans="1:48" ht="15" thickBot="1" x14ac:dyDescent="0.4">
      <c r="A41" s="23"/>
      <c r="B41" s="17"/>
      <c r="C41" s="256"/>
      <c r="D41" s="24"/>
      <c r="E41" s="24"/>
      <c r="F41" s="24"/>
      <c r="G41" s="24"/>
      <c r="H41" s="24"/>
      <c r="I41" s="24"/>
      <c r="J41" s="24"/>
      <c r="K41" s="24"/>
      <c r="L41" s="24"/>
      <c r="M41" s="24"/>
      <c r="N41" s="24"/>
      <c r="O41" s="24"/>
      <c r="P41" s="24"/>
      <c r="Q41" s="24"/>
      <c r="R41" s="24"/>
      <c r="S41" s="17"/>
      <c r="T41" s="17"/>
      <c r="U41" s="17"/>
      <c r="V41" s="17"/>
      <c r="W41" s="186"/>
      <c r="X41" s="2"/>
      <c r="Y41" s="2"/>
      <c r="Z41" s="2"/>
      <c r="AA41" s="2"/>
      <c r="AB41" s="2"/>
      <c r="AC41" s="2"/>
      <c r="AD41" s="2"/>
      <c r="AE41" s="2"/>
      <c r="AF41" s="2"/>
      <c r="AG41" s="2"/>
      <c r="AH41" s="2"/>
      <c r="AI41" s="2"/>
      <c r="AJ41" s="2"/>
      <c r="AK41" s="2"/>
      <c r="AL41" s="2"/>
      <c r="AM41" s="2"/>
      <c r="AN41" s="2"/>
      <c r="AO41" s="2"/>
      <c r="AP41" s="2"/>
      <c r="AQ41" s="2"/>
      <c r="AR41" s="2"/>
      <c r="AS41" s="2"/>
      <c r="AT41" s="2"/>
      <c r="AU41" s="2"/>
      <c r="AV41" s="2"/>
    </row>
    <row r="42" spans="1:48" s="35" customFormat="1" ht="15" customHeight="1" x14ac:dyDescent="0.3">
      <c r="A42" s="156" t="s">
        <v>96</v>
      </c>
      <c r="B42" s="157"/>
      <c r="C42" s="208"/>
      <c r="D42" s="213"/>
      <c r="E42" s="213"/>
      <c r="F42" s="213"/>
      <c r="G42" s="213"/>
      <c r="H42" s="213"/>
      <c r="I42" s="213"/>
      <c r="J42" s="213"/>
      <c r="K42" s="213"/>
      <c r="L42" s="213"/>
      <c r="M42" s="213"/>
      <c r="N42" s="213"/>
      <c r="O42" s="213"/>
      <c r="P42" s="213"/>
      <c r="Q42" s="213"/>
      <c r="R42" s="213"/>
      <c r="S42" s="157"/>
      <c r="T42" s="157"/>
      <c r="U42" s="157"/>
      <c r="V42" s="157"/>
      <c r="W42" s="156"/>
    </row>
    <row r="43" spans="1:48" x14ac:dyDescent="0.35">
      <c r="A43" s="158" t="s">
        <v>53</v>
      </c>
      <c r="B43" s="159"/>
      <c r="C43" s="195">
        <f>C38*C32</f>
        <v>11901.948120000001</v>
      </c>
      <c r="D43" s="160">
        <f t="shared" ref="D43:V43" si="22">D38*D32</f>
        <v>14238.693200250002</v>
      </c>
      <c r="E43" s="160">
        <f t="shared" si="22"/>
        <v>19677.224450250003</v>
      </c>
      <c r="F43" s="160">
        <f t="shared" si="22"/>
        <v>19677.224450250003</v>
      </c>
      <c r="G43" s="160">
        <f t="shared" si="22"/>
        <v>25115.755700250003</v>
      </c>
      <c r="H43" s="160">
        <f t="shared" si="22"/>
        <v>25115.755700250003</v>
      </c>
      <c r="I43" s="160">
        <f t="shared" si="22"/>
        <v>25115.755700250003</v>
      </c>
      <c r="J43" s="160">
        <f t="shared" si="22"/>
        <v>25115.755700250003</v>
      </c>
      <c r="K43" s="160">
        <f t="shared" si="22"/>
        <v>25115.755700250003</v>
      </c>
      <c r="L43" s="160">
        <f t="shared" si="22"/>
        <v>25115.755700250003</v>
      </c>
      <c r="M43" s="160">
        <f t="shared" si="22"/>
        <v>25115.755700250003</v>
      </c>
      <c r="N43" s="160">
        <f t="shared" si="22"/>
        <v>25115.755700250003</v>
      </c>
      <c r="O43" s="160">
        <f t="shared" si="22"/>
        <v>25115.755700250003</v>
      </c>
      <c r="P43" s="160">
        <f t="shared" si="22"/>
        <v>25115.755700250003</v>
      </c>
      <c r="Q43" s="160">
        <f t="shared" si="22"/>
        <v>25115.755700250003</v>
      </c>
      <c r="R43" s="160">
        <f t="shared" si="22"/>
        <v>25115.755700250003</v>
      </c>
      <c r="S43" s="160">
        <f t="shared" si="22"/>
        <v>25115.755700250003</v>
      </c>
      <c r="T43" s="160">
        <f t="shared" si="22"/>
        <v>25115.755700250003</v>
      </c>
      <c r="U43" s="160">
        <f t="shared" si="22"/>
        <v>25115.755700250003</v>
      </c>
      <c r="V43" s="160">
        <f t="shared" si="22"/>
        <v>25115.755700250003</v>
      </c>
      <c r="W43" s="183">
        <f>SUM(C43:V43)</f>
        <v>467347.1814247499</v>
      </c>
      <c r="X43" s="233" t="s">
        <v>107</v>
      </c>
      <c r="Y43" s="2"/>
      <c r="Z43" s="2"/>
      <c r="AA43" s="2"/>
      <c r="AB43" s="2"/>
      <c r="AC43" s="2"/>
      <c r="AD43" s="2"/>
      <c r="AE43" s="2"/>
      <c r="AF43" s="2"/>
      <c r="AG43" s="2"/>
      <c r="AH43" s="2"/>
      <c r="AI43" s="2"/>
      <c r="AJ43" s="2"/>
      <c r="AK43" s="2"/>
      <c r="AL43" s="2"/>
      <c r="AM43" s="2"/>
      <c r="AN43" s="2"/>
      <c r="AO43" s="2"/>
      <c r="AP43" s="2"/>
      <c r="AQ43" s="2"/>
      <c r="AR43" s="2"/>
      <c r="AS43" s="2"/>
      <c r="AT43" s="2"/>
      <c r="AU43" s="2"/>
      <c r="AV43" s="2"/>
    </row>
    <row r="44" spans="1:48" x14ac:dyDescent="0.35">
      <c r="A44" s="158" t="s">
        <v>57</v>
      </c>
      <c r="B44" s="162"/>
      <c r="C44" s="196">
        <f t="shared" ref="C44" si="23">C39*C33</f>
        <v>56610.912863999998</v>
      </c>
      <c r="D44" s="163">
        <f t="shared" ref="D44:V44" si="24">D39*D33</f>
        <v>66656.847663000008</v>
      </c>
      <c r="E44" s="163">
        <f t="shared" si="24"/>
        <v>92116.722663000008</v>
      </c>
      <c r="F44" s="163">
        <f t="shared" si="24"/>
        <v>92116.722663000008</v>
      </c>
      <c r="G44" s="163">
        <f t="shared" si="24"/>
        <v>117576.59766300001</v>
      </c>
      <c r="H44" s="163">
        <f t="shared" si="24"/>
        <v>117576.59766300001</v>
      </c>
      <c r="I44" s="163">
        <f t="shared" si="24"/>
        <v>117576.59766300001</v>
      </c>
      <c r="J44" s="163">
        <f t="shared" si="24"/>
        <v>117576.59766300001</v>
      </c>
      <c r="K44" s="163">
        <f t="shared" si="24"/>
        <v>117576.59766300001</v>
      </c>
      <c r="L44" s="163">
        <f t="shared" si="24"/>
        <v>117576.59766300001</v>
      </c>
      <c r="M44" s="163">
        <f t="shared" si="24"/>
        <v>117576.59766300001</v>
      </c>
      <c r="N44" s="163">
        <f t="shared" si="24"/>
        <v>117576.59766300001</v>
      </c>
      <c r="O44" s="163">
        <f t="shared" si="24"/>
        <v>117576.59766300001</v>
      </c>
      <c r="P44" s="163">
        <f t="shared" si="24"/>
        <v>117576.59766300001</v>
      </c>
      <c r="Q44" s="163">
        <f t="shared" si="24"/>
        <v>117576.59766300001</v>
      </c>
      <c r="R44" s="163">
        <f t="shared" si="24"/>
        <v>117576.59766300001</v>
      </c>
      <c r="S44" s="163">
        <f t="shared" si="24"/>
        <v>117576.59766300001</v>
      </c>
      <c r="T44" s="163">
        <f t="shared" si="24"/>
        <v>117576.59766300001</v>
      </c>
      <c r="U44" s="163">
        <f t="shared" si="24"/>
        <v>117576.59766300001</v>
      </c>
      <c r="V44" s="163">
        <f t="shared" si="24"/>
        <v>117576.59766300001</v>
      </c>
      <c r="W44" s="184">
        <f>SUM(C44:V44)</f>
        <v>2188726.7684610002</v>
      </c>
      <c r="X44" s="233" t="s">
        <v>108</v>
      </c>
      <c r="Y44" s="2"/>
      <c r="Z44" s="2"/>
      <c r="AA44" s="2"/>
      <c r="AB44" s="2"/>
      <c r="AC44" s="2"/>
      <c r="AD44" s="2"/>
      <c r="AE44" s="2"/>
      <c r="AF44" s="2"/>
      <c r="AG44" s="2"/>
      <c r="AH44" s="2"/>
      <c r="AI44" s="2"/>
      <c r="AJ44" s="2"/>
      <c r="AK44" s="2"/>
      <c r="AL44" s="2"/>
      <c r="AM44" s="2"/>
      <c r="AN44" s="2"/>
      <c r="AO44" s="2"/>
      <c r="AP44" s="2"/>
      <c r="AQ44" s="2"/>
      <c r="AR44" s="2"/>
      <c r="AS44" s="2"/>
      <c r="AT44" s="2"/>
      <c r="AU44" s="2"/>
      <c r="AV44" s="2"/>
    </row>
    <row r="45" spans="1:48" x14ac:dyDescent="0.35">
      <c r="A45" s="172" t="s">
        <v>54</v>
      </c>
      <c r="B45" s="162"/>
      <c r="C45" s="196">
        <f t="shared" ref="C45" si="25">C34*C40</f>
        <v>24221.175695999998</v>
      </c>
      <c r="D45" s="163">
        <f t="shared" ref="D45:V45" si="26">D34*D40</f>
        <v>34451.349162750004</v>
      </c>
      <c r="E45" s="163">
        <f t="shared" si="26"/>
        <v>47610.192912750004</v>
      </c>
      <c r="F45" s="163">
        <f t="shared" si="26"/>
        <v>47610.192912750004</v>
      </c>
      <c r="G45" s="163">
        <f t="shared" si="26"/>
        <v>60769.03666274999</v>
      </c>
      <c r="H45" s="163">
        <f t="shared" si="26"/>
        <v>60769.03666274999</v>
      </c>
      <c r="I45" s="163">
        <f t="shared" si="26"/>
        <v>60769.03666274999</v>
      </c>
      <c r="J45" s="163">
        <f t="shared" si="26"/>
        <v>60769.03666274999</v>
      </c>
      <c r="K45" s="163">
        <f t="shared" si="26"/>
        <v>60769.03666274999</v>
      </c>
      <c r="L45" s="163">
        <f t="shared" si="26"/>
        <v>60769.03666274999</v>
      </c>
      <c r="M45" s="163">
        <f t="shared" si="26"/>
        <v>60769.03666274999</v>
      </c>
      <c r="N45" s="163">
        <f t="shared" si="26"/>
        <v>60769.03666274999</v>
      </c>
      <c r="O45" s="163">
        <f t="shared" si="26"/>
        <v>60769.03666274999</v>
      </c>
      <c r="P45" s="163">
        <f t="shared" si="26"/>
        <v>60769.03666274999</v>
      </c>
      <c r="Q45" s="163">
        <f t="shared" si="26"/>
        <v>60769.03666274999</v>
      </c>
      <c r="R45" s="163">
        <f t="shared" si="26"/>
        <v>60769.03666274999</v>
      </c>
      <c r="S45" s="163">
        <f t="shared" si="26"/>
        <v>60769.03666274999</v>
      </c>
      <c r="T45" s="163">
        <f t="shared" si="26"/>
        <v>60769.03666274999</v>
      </c>
      <c r="U45" s="163">
        <f t="shared" si="26"/>
        <v>60769.03666274999</v>
      </c>
      <c r="V45" s="163">
        <f t="shared" si="26"/>
        <v>60769.03666274999</v>
      </c>
      <c r="W45" s="184">
        <f>SUM(C45:V45)</f>
        <v>1126197.4972882497</v>
      </c>
      <c r="X45" s="233" t="s">
        <v>109</v>
      </c>
      <c r="Y45" s="2"/>
      <c r="Z45" s="2"/>
      <c r="AA45" s="2"/>
      <c r="AB45" s="2"/>
      <c r="AC45" s="2"/>
      <c r="AD45" s="2"/>
      <c r="AE45" s="2"/>
      <c r="AF45" s="2"/>
      <c r="AG45" s="2"/>
      <c r="AH45" s="2"/>
      <c r="AI45" s="2"/>
      <c r="AJ45" s="2"/>
      <c r="AK45" s="2"/>
      <c r="AL45" s="2"/>
      <c r="AM45" s="2"/>
      <c r="AN45" s="2"/>
      <c r="AO45" s="2"/>
      <c r="AP45" s="2"/>
      <c r="AQ45" s="2"/>
      <c r="AR45" s="2"/>
      <c r="AS45" s="2"/>
      <c r="AT45" s="2"/>
      <c r="AU45" s="2"/>
      <c r="AV45" s="2"/>
    </row>
    <row r="46" spans="1:48" x14ac:dyDescent="0.35">
      <c r="A46" s="170" t="s">
        <v>97</v>
      </c>
      <c r="B46" s="166"/>
      <c r="C46" s="182">
        <f t="shared" ref="C46" si="27">SUM(C43:C45)</f>
        <v>92734.03667999999</v>
      </c>
      <c r="D46" s="225">
        <f t="shared" ref="D46:V46" si="28">SUM(D43:D45)</f>
        <v>115346.89002600001</v>
      </c>
      <c r="E46" s="225">
        <f t="shared" si="28"/>
        <v>159404.14002600001</v>
      </c>
      <c r="F46" s="225">
        <f t="shared" si="28"/>
        <v>159404.14002600001</v>
      </c>
      <c r="G46" s="225">
        <f t="shared" si="28"/>
        <v>203461.39002599998</v>
      </c>
      <c r="H46" s="225">
        <f t="shared" si="28"/>
        <v>203461.39002599998</v>
      </c>
      <c r="I46" s="225">
        <f t="shared" si="28"/>
        <v>203461.39002599998</v>
      </c>
      <c r="J46" s="225">
        <f t="shared" si="28"/>
        <v>203461.39002599998</v>
      </c>
      <c r="K46" s="225">
        <f t="shared" si="28"/>
        <v>203461.39002599998</v>
      </c>
      <c r="L46" s="225">
        <f t="shared" si="28"/>
        <v>203461.39002599998</v>
      </c>
      <c r="M46" s="225">
        <f t="shared" si="28"/>
        <v>203461.39002599998</v>
      </c>
      <c r="N46" s="225">
        <f t="shared" si="28"/>
        <v>203461.39002599998</v>
      </c>
      <c r="O46" s="225">
        <f t="shared" si="28"/>
        <v>203461.39002599998</v>
      </c>
      <c r="P46" s="225">
        <f t="shared" si="28"/>
        <v>203461.39002599998</v>
      </c>
      <c r="Q46" s="225">
        <f t="shared" si="28"/>
        <v>203461.39002599998</v>
      </c>
      <c r="R46" s="225">
        <f t="shared" si="28"/>
        <v>203461.39002599998</v>
      </c>
      <c r="S46" s="225">
        <f t="shared" si="28"/>
        <v>203461.39002599998</v>
      </c>
      <c r="T46" s="225">
        <f t="shared" si="28"/>
        <v>203461.39002599998</v>
      </c>
      <c r="U46" s="225">
        <f t="shared" si="28"/>
        <v>203461.39002599998</v>
      </c>
      <c r="V46" s="225">
        <f t="shared" si="28"/>
        <v>203461.39002599998</v>
      </c>
      <c r="W46" s="182">
        <f>SUM(W43:W45)</f>
        <v>3782271.4471739996</v>
      </c>
      <c r="X46" s="212"/>
      <c r="Y46" s="126" t="e">
        <f>SUM(#REF!)</f>
        <v>#REF!</v>
      </c>
      <c r="Z46" s="126" t="e">
        <f>NPV(5%,#REF!)</f>
        <v>#REF!</v>
      </c>
      <c r="AA46" s="2"/>
      <c r="AB46" s="2"/>
      <c r="AC46" s="2"/>
      <c r="AD46" s="2"/>
      <c r="AE46" s="2"/>
      <c r="AF46" s="2"/>
      <c r="AG46" s="2"/>
      <c r="AH46" s="2"/>
      <c r="AI46" s="2"/>
      <c r="AJ46" s="2"/>
      <c r="AK46" s="2"/>
      <c r="AL46" s="2"/>
      <c r="AM46" s="2"/>
      <c r="AN46" s="2"/>
      <c r="AO46" s="2"/>
      <c r="AP46" s="2"/>
      <c r="AQ46" s="2"/>
      <c r="AR46" s="2"/>
      <c r="AS46" s="2"/>
      <c r="AT46" s="2"/>
      <c r="AU46" s="2"/>
      <c r="AV46" s="2"/>
    </row>
    <row r="47" spans="1:48" x14ac:dyDescent="0.35">
      <c r="A47" s="158" t="s">
        <v>15</v>
      </c>
      <c r="B47" s="159"/>
      <c r="C47" s="195">
        <v>0</v>
      </c>
      <c r="D47" s="160">
        <v>0</v>
      </c>
      <c r="E47" s="160">
        <v>0</v>
      </c>
      <c r="F47" s="160">
        <v>0</v>
      </c>
      <c r="G47" s="160">
        <v>0</v>
      </c>
      <c r="H47" s="160">
        <v>0</v>
      </c>
      <c r="I47" s="160">
        <v>0</v>
      </c>
      <c r="J47" s="160">
        <v>0</v>
      </c>
      <c r="K47" s="160">
        <v>0</v>
      </c>
      <c r="L47" s="160">
        <v>0</v>
      </c>
      <c r="M47" s="160">
        <v>0</v>
      </c>
      <c r="N47" s="160">
        <v>0</v>
      </c>
      <c r="O47" s="160">
        <v>0</v>
      </c>
      <c r="P47" s="160">
        <v>0</v>
      </c>
      <c r="Q47" s="160">
        <v>0</v>
      </c>
      <c r="R47" s="160">
        <v>0</v>
      </c>
      <c r="S47" s="160">
        <v>0</v>
      </c>
      <c r="T47" s="160">
        <v>0</v>
      </c>
      <c r="U47" s="160">
        <v>0</v>
      </c>
      <c r="V47" s="160">
        <v>0</v>
      </c>
      <c r="W47" s="183">
        <f>SUM(C47:V47)</f>
        <v>0</v>
      </c>
      <c r="X47" s="2"/>
      <c r="Y47" s="126" t="e">
        <f>SUM(#REF!)</f>
        <v>#REF!</v>
      </c>
      <c r="Z47" s="126" t="e">
        <f>NPV(5%,#REF!)</f>
        <v>#REF!</v>
      </c>
      <c r="AA47" s="2"/>
      <c r="AB47" s="2"/>
      <c r="AC47" s="2"/>
      <c r="AD47" s="2"/>
      <c r="AE47" s="2"/>
      <c r="AF47" s="2"/>
      <c r="AG47" s="2"/>
      <c r="AH47" s="2"/>
      <c r="AI47" s="2"/>
      <c r="AJ47" s="2"/>
      <c r="AK47" s="2"/>
      <c r="AL47" s="2"/>
      <c r="AM47" s="2"/>
      <c r="AN47" s="2"/>
      <c r="AO47" s="2"/>
      <c r="AP47" s="2"/>
      <c r="AQ47" s="2"/>
      <c r="AR47" s="2"/>
      <c r="AS47" s="2"/>
      <c r="AT47" s="2"/>
      <c r="AU47" s="2"/>
      <c r="AV47" s="2"/>
    </row>
    <row r="48" spans="1:48" x14ac:dyDescent="0.35">
      <c r="A48" s="158" t="s">
        <v>55</v>
      </c>
      <c r="B48" s="162"/>
      <c r="C48" s="196">
        <v>0</v>
      </c>
      <c r="D48" s="163">
        <f>C48</f>
        <v>0</v>
      </c>
      <c r="E48" s="163">
        <f t="shared" ref="E48:V48" si="29">D48</f>
        <v>0</v>
      </c>
      <c r="F48" s="163">
        <f t="shared" si="29"/>
        <v>0</v>
      </c>
      <c r="G48" s="163">
        <f t="shared" si="29"/>
        <v>0</v>
      </c>
      <c r="H48" s="163">
        <f t="shared" si="29"/>
        <v>0</v>
      </c>
      <c r="I48" s="163">
        <f t="shared" si="29"/>
        <v>0</v>
      </c>
      <c r="J48" s="163">
        <f t="shared" si="29"/>
        <v>0</v>
      </c>
      <c r="K48" s="163">
        <f t="shared" si="29"/>
        <v>0</v>
      </c>
      <c r="L48" s="163">
        <f t="shared" si="29"/>
        <v>0</v>
      </c>
      <c r="M48" s="163">
        <f t="shared" si="29"/>
        <v>0</v>
      </c>
      <c r="N48" s="163">
        <f t="shared" si="29"/>
        <v>0</v>
      </c>
      <c r="O48" s="163">
        <f t="shared" si="29"/>
        <v>0</v>
      </c>
      <c r="P48" s="163">
        <f t="shared" si="29"/>
        <v>0</v>
      </c>
      <c r="Q48" s="163">
        <f t="shared" si="29"/>
        <v>0</v>
      </c>
      <c r="R48" s="163">
        <f t="shared" si="29"/>
        <v>0</v>
      </c>
      <c r="S48" s="163">
        <f t="shared" si="29"/>
        <v>0</v>
      </c>
      <c r="T48" s="163">
        <f t="shared" si="29"/>
        <v>0</v>
      </c>
      <c r="U48" s="163">
        <f t="shared" si="29"/>
        <v>0</v>
      </c>
      <c r="V48" s="163">
        <f t="shared" si="29"/>
        <v>0</v>
      </c>
      <c r="W48" s="184">
        <f>SUM(C48:V48)</f>
        <v>0</v>
      </c>
      <c r="X48" s="26"/>
      <c r="Y48" s="126" t="e">
        <f>SUM(#REF!)</f>
        <v>#REF!</v>
      </c>
      <c r="Z48" s="126" t="e">
        <f>NPV(5%,#REF!)</f>
        <v>#REF!</v>
      </c>
      <c r="AA48" s="2"/>
      <c r="AB48" s="2"/>
      <c r="AC48" s="2"/>
      <c r="AD48" s="2"/>
      <c r="AE48" s="2"/>
      <c r="AF48" s="2"/>
      <c r="AG48" s="2"/>
      <c r="AH48" s="2"/>
      <c r="AI48" s="2"/>
      <c r="AJ48" s="2"/>
      <c r="AK48" s="2"/>
      <c r="AL48" s="2"/>
      <c r="AM48" s="2"/>
      <c r="AN48" s="2"/>
      <c r="AO48" s="2"/>
      <c r="AP48" s="2"/>
      <c r="AQ48" s="2"/>
      <c r="AR48" s="2"/>
      <c r="AS48" s="2"/>
      <c r="AT48" s="2"/>
      <c r="AU48" s="2"/>
      <c r="AV48" s="2"/>
    </row>
    <row r="49" spans="1:48" x14ac:dyDescent="0.35">
      <c r="A49" s="158" t="s">
        <v>16</v>
      </c>
      <c r="B49" s="162"/>
      <c r="C49" s="196">
        <f>C46</f>
        <v>92734.03667999999</v>
      </c>
      <c r="D49" s="163">
        <f>D46</f>
        <v>115346.89002600001</v>
      </c>
      <c r="E49" s="163">
        <f t="shared" ref="E49:V49" si="30">E46</f>
        <v>159404.14002600001</v>
      </c>
      <c r="F49" s="163">
        <f t="shared" si="30"/>
        <v>159404.14002600001</v>
      </c>
      <c r="G49" s="163">
        <f t="shared" si="30"/>
        <v>203461.39002599998</v>
      </c>
      <c r="H49" s="163">
        <f t="shared" si="30"/>
        <v>203461.39002599998</v>
      </c>
      <c r="I49" s="163">
        <f t="shared" si="30"/>
        <v>203461.39002599998</v>
      </c>
      <c r="J49" s="163">
        <f t="shared" si="30"/>
        <v>203461.39002599998</v>
      </c>
      <c r="K49" s="163">
        <f t="shared" si="30"/>
        <v>203461.39002599998</v>
      </c>
      <c r="L49" s="163">
        <f t="shared" si="30"/>
        <v>203461.39002599998</v>
      </c>
      <c r="M49" s="163">
        <f t="shared" si="30"/>
        <v>203461.39002599998</v>
      </c>
      <c r="N49" s="163">
        <f t="shared" si="30"/>
        <v>203461.39002599998</v>
      </c>
      <c r="O49" s="163">
        <f t="shared" si="30"/>
        <v>203461.39002599998</v>
      </c>
      <c r="P49" s="163">
        <f t="shared" si="30"/>
        <v>203461.39002599998</v>
      </c>
      <c r="Q49" s="163">
        <f t="shared" si="30"/>
        <v>203461.39002599998</v>
      </c>
      <c r="R49" s="163">
        <f t="shared" si="30"/>
        <v>203461.39002599998</v>
      </c>
      <c r="S49" s="163">
        <f t="shared" si="30"/>
        <v>203461.39002599998</v>
      </c>
      <c r="T49" s="163">
        <f t="shared" si="30"/>
        <v>203461.39002599998</v>
      </c>
      <c r="U49" s="163">
        <f t="shared" si="30"/>
        <v>203461.39002599998</v>
      </c>
      <c r="V49" s="163">
        <f t="shared" si="30"/>
        <v>203461.39002599998</v>
      </c>
      <c r="W49" s="184">
        <f>SUM(C49:V49)</f>
        <v>3782271.4471739982</v>
      </c>
      <c r="X49" s="212"/>
      <c r="Y49" s="126" t="e">
        <f>SUM(#REF!)</f>
        <v>#REF!</v>
      </c>
      <c r="Z49" s="126" t="e">
        <f>NPV(5%,#REF!)</f>
        <v>#REF!</v>
      </c>
      <c r="AA49" s="2"/>
      <c r="AB49" s="2"/>
      <c r="AC49" s="2"/>
      <c r="AD49" s="2"/>
      <c r="AE49" s="2"/>
      <c r="AF49" s="2"/>
      <c r="AG49" s="2"/>
      <c r="AH49" s="2"/>
      <c r="AI49" s="2"/>
      <c r="AJ49" s="2"/>
      <c r="AK49" s="2"/>
      <c r="AL49" s="2"/>
      <c r="AM49" s="2"/>
      <c r="AN49" s="2"/>
      <c r="AO49" s="2"/>
      <c r="AP49" s="2"/>
      <c r="AQ49" s="2"/>
      <c r="AR49" s="2"/>
      <c r="AS49" s="2"/>
      <c r="AT49" s="2"/>
      <c r="AU49" s="2"/>
      <c r="AV49" s="2"/>
    </row>
    <row r="50" spans="1:48" x14ac:dyDescent="0.35">
      <c r="A50" s="238" t="s">
        <v>116</v>
      </c>
      <c r="B50" s="162"/>
      <c r="C50" s="196">
        <v>150000</v>
      </c>
      <c r="D50" s="163">
        <v>150000</v>
      </c>
      <c r="E50" s="163">
        <v>150000</v>
      </c>
      <c r="F50" s="163">
        <v>150000</v>
      </c>
      <c r="G50" s="163">
        <v>150000</v>
      </c>
      <c r="H50" s="163">
        <v>150000</v>
      </c>
      <c r="I50" s="163">
        <v>150000</v>
      </c>
      <c r="J50" s="163">
        <v>150000</v>
      </c>
      <c r="K50" s="163">
        <v>150000</v>
      </c>
      <c r="L50" s="163">
        <v>150000</v>
      </c>
      <c r="M50" s="163">
        <v>150000</v>
      </c>
      <c r="N50" s="163">
        <v>150000</v>
      </c>
      <c r="O50" s="163">
        <v>150000</v>
      </c>
      <c r="P50" s="163">
        <v>150000</v>
      </c>
      <c r="Q50" s="163">
        <v>150000</v>
      </c>
      <c r="R50" s="163">
        <v>0</v>
      </c>
      <c r="S50" s="163">
        <v>0</v>
      </c>
      <c r="T50" s="163">
        <v>0</v>
      </c>
      <c r="U50" s="163">
        <v>0</v>
      </c>
      <c r="V50" s="163">
        <v>0</v>
      </c>
      <c r="W50" s="184">
        <f>SUM(C50:V50)</f>
        <v>2250000</v>
      </c>
      <c r="X50" s="212"/>
      <c r="Y50" s="126"/>
      <c r="Z50" s="126"/>
      <c r="AA50" s="2"/>
      <c r="AB50" s="2"/>
      <c r="AC50" s="2"/>
      <c r="AD50" s="2"/>
      <c r="AE50" s="2"/>
      <c r="AF50" s="2"/>
      <c r="AG50" s="2"/>
      <c r="AH50" s="2"/>
      <c r="AI50" s="2"/>
      <c r="AJ50" s="2"/>
      <c r="AK50" s="2"/>
      <c r="AL50" s="2"/>
      <c r="AM50" s="2"/>
      <c r="AN50" s="2"/>
      <c r="AO50" s="2"/>
      <c r="AP50" s="2"/>
      <c r="AQ50" s="2"/>
      <c r="AR50" s="2"/>
      <c r="AS50" s="2"/>
      <c r="AT50" s="2"/>
      <c r="AU50" s="2"/>
      <c r="AV50" s="2"/>
    </row>
    <row r="51" spans="1:48" x14ac:dyDescent="0.35">
      <c r="A51" s="170" t="s">
        <v>98</v>
      </c>
      <c r="B51" s="166"/>
      <c r="C51" s="182">
        <f>C47+C49+C50</f>
        <v>242734.03667999999</v>
      </c>
      <c r="D51" s="225">
        <f t="shared" ref="D51:V51" si="31">D47+D49+D50</f>
        <v>265346.89002599998</v>
      </c>
      <c r="E51" s="221">
        <f t="shared" si="31"/>
        <v>309404.14002599998</v>
      </c>
      <c r="F51" s="221">
        <f t="shared" si="31"/>
        <v>309404.14002599998</v>
      </c>
      <c r="G51" s="221">
        <f t="shared" si="31"/>
        <v>353461.39002599998</v>
      </c>
      <c r="H51" s="221">
        <f t="shared" si="31"/>
        <v>353461.39002599998</v>
      </c>
      <c r="I51" s="221">
        <f t="shared" si="31"/>
        <v>353461.39002599998</v>
      </c>
      <c r="J51" s="221">
        <f t="shared" si="31"/>
        <v>353461.39002599998</v>
      </c>
      <c r="K51" s="221">
        <f t="shared" si="31"/>
        <v>353461.39002599998</v>
      </c>
      <c r="L51" s="221">
        <f t="shared" si="31"/>
        <v>353461.39002599998</v>
      </c>
      <c r="M51" s="221">
        <f t="shared" si="31"/>
        <v>353461.39002599998</v>
      </c>
      <c r="N51" s="221">
        <f t="shared" si="31"/>
        <v>353461.39002599998</v>
      </c>
      <c r="O51" s="221">
        <f t="shared" si="31"/>
        <v>353461.39002599998</v>
      </c>
      <c r="P51" s="221">
        <f t="shared" si="31"/>
        <v>353461.39002599998</v>
      </c>
      <c r="Q51" s="221">
        <f t="shared" si="31"/>
        <v>353461.39002599998</v>
      </c>
      <c r="R51" s="221">
        <f t="shared" si="31"/>
        <v>203461.39002599998</v>
      </c>
      <c r="S51" s="221">
        <f t="shared" si="31"/>
        <v>203461.39002599998</v>
      </c>
      <c r="T51" s="221">
        <f t="shared" si="31"/>
        <v>203461.39002599998</v>
      </c>
      <c r="U51" s="221">
        <f t="shared" si="31"/>
        <v>203461.39002599998</v>
      </c>
      <c r="V51" s="221">
        <f t="shared" si="31"/>
        <v>203461.39002599998</v>
      </c>
      <c r="W51" s="182">
        <f>SUM(W47:W50)</f>
        <v>6032271.4471739978</v>
      </c>
      <c r="X51" s="2"/>
      <c r="Y51" s="126" t="e">
        <f>SUM(#REF!)</f>
        <v>#REF!</v>
      </c>
      <c r="Z51" s="126" t="e">
        <f>NPV(5%,#REF!)</f>
        <v>#REF!</v>
      </c>
      <c r="AA51" s="2"/>
      <c r="AB51" s="2"/>
      <c r="AC51" s="2"/>
      <c r="AD51" s="2"/>
      <c r="AE51" s="2"/>
      <c r="AF51" s="2"/>
      <c r="AG51" s="2"/>
      <c r="AH51" s="2"/>
      <c r="AI51" s="2"/>
      <c r="AJ51" s="2"/>
      <c r="AK51" s="2"/>
      <c r="AL51" s="2"/>
      <c r="AM51" s="2"/>
      <c r="AN51" s="2"/>
      <c r="AO51" s="2"/>
      <c r="AP51" s="2"/>
      <c r="AQ51" s="2"/>
      <c r="AR51" s="2"/>
      <c r="AS51" s="2"/>
      <c r="AT51" s="2"/>
      <c r="AU51" s="2"/>
      <c r="AV51" s="2"/>
    </row>
    <row r="52" spans="1:48" ht="18" hidden="1" thickBot="1" x14ac:dyDescent="0.4">
      <c r="A52" s="17"/>
      <c r="B52" s="17"/>
      <c r="C52" s="256"/>
      <c r="D52" s="24"/>
      <c r="E52" s="24"/>
      <c r="F52" s="24"/>
      <c r="G52" s="24"/>
      <c r="H52" s="24"/>
      <c r="I52" s="24"/>
      <c r="J52" s="24"/>
      <c r="K52" s="24"/>
      <c r="L52" s="24"/>
      <c r="M52" s="24"/>
      <c r="N52" s="24"/>
      <c r="O52" s="24"/>
      <c r="P52" s="24"/>
      <c r="Q52" s="24"/>
      <c r="R52" s="24"/>
      <c r="S52" s="17"/>
      <c r="T52" s="17"/>
      <c r="U52" s="17"/>
      <c r="V52" s="17"/>
      <c r="W52" s="17">
        <f>SUM(U52:U52)</f>
        <v>0</v>
      </c>
      <c r="X52" s="2"/>
      <c r="Y52" s="126"/>
      <c r="Z52" s="126"/>
      <c r="AA52" s="2"/>
      <c r="AB52" s="2"/>
      <c r="AC52" s="2"/>
      <c r="AD52" s="2"/>
      <c r="AE52" s="2"/>
      <c r="AF52" s="2"/>
      <c r="AG52" s="2"/>
      <c r="AH52" s="2"/>
      <c r="AI52" s="2"/>
      <c r="AJ52" s="2"/>
      <c r="AK52" s="2"/>
      <c r="AL52" s="2"/>
      <c r="AM52" s="307" t="s">
        <v>60</v>
      </c>
      <c r="AN52" s="307"/>
      <c r="AO52" s="307"/>
      <c r="AP52" s="2"/>
      <c r="AQ52" s="2"/>
      <c r="AR52" s="2"/>
      <c r="AS52" s="2"/>
      <c r="AT52" s="2"/>
      <c r="AU52" s="2"/>
      <c r="AV52" s="2"/>
    </row>
    <row r="53" spans="1:48" ht="17.5" x14ac:dyDescent="0.35">
      <c r="A53" s="3"/>
      <c r="B53" s="3"/>
      <c r="C53" s="257"/>
      <c r="D53" s="29"/>
      <c r="E53" s="29"/>
      <c r="F53" s="29"/>
      <c r="G53" s="29"/>
      <c r="H53" s="29"/>
      <c r="I53" s="29"/>
      <c r="J53" s="29"/>
      <c r="K53" s="29"/>
      <c r="L53" s="29"/>
      <c r="M53" s="29"/>
      <c r="N53" s="29"/>
      <c r="O53" s="29"/>
      <c r="P53" s="29"/>
      <c r="Q53" s="29"/>
      <c r="R53" s="29"/>
      <c r="S53" s="3"/>
      <c r="T53" s="3"/>
      <c r="U53" s="3"/>
      <c r="V53" s="3"/>
      <c r="W53" s="3"/>
      <c r="X53" s="2"/>
      <c r="Y53" s="126"/>
      <c r="Z53" s="126"/>
      <c r="AA53" s="2"/>
      <c r="AB53" s="2"/>
      <c r="AC53" s="2"/>
      <c r="AD53" s="2"/>
      <c r="AE53" s="2"/>
      <c r="AF53" s="2"/>
      <c r="AG53" s="2"/>
      <c r="AH53" s="2"/>
      <c r="AI53" s="2"/>
      <c r="AJ53" s="2"/>
      <c r="AK53" s="2"/>
      <c r="AL53" s="2"/>
      <c r="AM53" s="125"/>
      <c r="AN53" s="125"/>
      <c r="AO53" s="125"/>
      <c r="AP53" s="2"/>
      <c r="AQ53" s="2"/>
      <c r="AR53" s="2"/>
      <c r="AS53" s="2"/>
      <c r="AT53" s="2"/>
      <c r="AU53" s="2"/>
      <c r="AV53" s="2"/>
    </row>
    <row r="54" spans="1:48" s="35" customFormat="1" ht="18" customHeight="1" x14ac:dyDescent="0.35">
      <c r="A54" s="152" t="s">
        <v>47</v>
      </c>
      <c r="B54" s="152"/>
      <c r="C54" s="181"/>
      <c r="D54" s="249"/>
      <c r="E54" s="152"/>
      <c r="F54" s="152"/>
      <c r="G54" s="152"/>
      <c r="H54" s="152"/>
      <c r="I54" s="152"/>
      <c r="J54" s="152"/>
      <c r="K54" s="152"/>
      <c r="L54" s="152"/>
      <c r="M54" s="152"/>
      <c r="N54" s="152"/>
      <c r="O54" s="152"/>
      <c r="P54" s="152"/>
      <c r="Q54" s="152"/>
      <c r="R54" s="152"/>
      <c r="S54" s="152"/>
      <c r="T54" s="152"/>
      <c r="U54" s="152"/>
      <c r="V54" s="152"/>
      <c r="W54" s="181"/>
      <c r="AM54" s="35" t="s">
        <v>61</v>
      </c>
      <c r="AN54" s="35" t="s">
        <v>62</v>
      </c>
    </row>
    <row r="55" spans="1:48" ht="16.5" hidden="1" x14ac:dyDescent="0.5">
      <c r="A55" s="14"/>
      <c r="B55" s="22"/>
      <c r="C55" s="258"/>
      <c r="D55" s="22"/>
      <c r="E55" s="22"/>
      <c r="F55" s="22"/>
      <c r="G55" s="22"/>
      <c r="H55" s="22"/>
      <c r="I55" s="22"/>
      <c r="J55" s="22"/>
      <c r="K55" s="22"/>
      <c r="L55" s="22"/>
      <c r="M55" s="22"/>
      <c r="N55" s="22"/>
      <c r="O55" s="22"/>
      <c r="P55" s="22"/>
      <c r="Q55" s="22"/>
      <c r="R55" s="22"/>
      <c r="S55" s="22"/>
      <c r="T55" s="22"/>
      <c r="U55" s="22"/>
      <c r="V55" s="22"/>
      <c r="W55" s="194"/>
      <c r="X55" s="2"/>
      <c r="Y55" s="126"/>
      <c r="Z55" s="126"/>
      <c r="AA55" s="2"/>
      <c r="AB55" s="2"/>
      <c r="AC55" s="2"/>
      <c r="AD55" s="2"/>
      <c r="AE55" s="2"/>
      <c r="AF55" s="2"/>
      <c r="AG55" s="2"/>
      <c r="AH55" s="2"/>
      <c r="AI55" s="2"/>
      <c r="AJ55" s="2"/>
      <c r="AK55" s="2"/>
      <c r="AL55" s="2"/>
      <c r="AM55" s="111"/>
      <c r="AN55" s="112" t="s">
        <v>63</v>
      </c>
      <c r="AO55" s="110"/>
      <c r="AP55" s="2"/>
      <c r="AQ55" s="2"/>
      <c r="AR55" s="2"/>
      <c r="AS55" s="2"/>
      <c r="AT55" s="2"/>
      <c r="AU55" s="2"/>
      <c r="AV55" s="2"/>
    </row>
    <row r="56" spans="1:48" ht="15" thickBot="1" x14ac:dyDescent="0.4">
      <c r="A56" s="156" t="s">
        <v>99</v>
      </c>
      <c r="B56" s="157"/>
      <c r="C56" s="156"/>
      <c r="D56" s="157"/>
      <c r="E56" s="157"/>
      <c r="F56" s="157"/>
      <c r="G56" s="157"/>
      <c r="H56" s="157"/>
      <c r="I56" s="157"/>
      <c r="J56" s="157"/>
      <c r="K56" s="157"/>
      <c r="L56" s="157"/>
      <c r="M56" s="157"/>
      <c r="N56" s="157"/>
      <c r="O56" s="157"/>
      <c r="P56" s="157"/>
      <c r="Q56" s="157"/>
      <c r="R56" s="157"/>
      <c r="S56" s="157"/>
      <c r="T56" s="157"/>
      <c r="U56" s="157"/>
      <c r="V56" s="157"/>
      <c r="W56" s="156"/>
      <c r="X56" s="2"/>
      <c r="Y56" s="126"/>
      <c r="Z56" s="126"/>
      <c r="AA56" s="2"/>
      <c r="AB56" s="2"/>
      <c r="AC56" s="2"/>
      <c r="AD56" s="2"/>
      <c r="AE56" s="2"/>
      <c r="AF56" s="2"/>
      <c r="AG56" s="2"/>
      <c r="AH56" s="2"/>
      <c r="AI56" s="2"/>
      <c r="AJ56" s="2"/>
      <c r="AK56" s="2"/>
      <c r="AL56" s="2"/>
      <c r="AM56" s="113" t="s">
        <v>64</v>
      </c>
      <c r="AN56" s="68" t="s">
        <v>65</v>
      </c>
      <c r="AO56" s="110"/>
      <c r="AP56" s="2"/>
      <c r="AQ56" s="2"/>
      <c r="AR56" s="2"/>
      <c r="AS56" s="2"/>
      <c r="AT56" s="2"/>
      <c r="AU56" s="2"/>
      <c r="AV56" s="2"/>
    </row>
    <row r="57" spans="1:48" ht="15" thickBot="1" x14ac:dyDescent="0.4">
      <c r="A57" s="158" t="s">
        <v>105</v>
      </c>
      <c r="B57" s="159"/>
      <c r="C57" s="195">
        <f>C49*0.05</f>
        <v>4636.7018339999995</v>
      </c>
      <c r="D57" s="160">
        <f>D49*0.05</f>
        <v>5767.344501300001</v>
      </c>
      <c r="E57" s="160">
        <f t="shared" ref="E57:V57" si="32">E49*0.05</f>
        <v>7970.2070013000011</v>
      </c>
      <c r="F57" s="160">
        <f t="shared" si="32"/>
        <v>7970.2070013000011</v>
      </c>
      <c r="G57" s="160">
        <f t="shared" si="32"/>
        <v>10173.0695013</v>
      </c>
      <c r="H57" s="160">
        <f>H49*0.05</f>
        <v>10173.0695013</v>
      </c>
      <c r="I57" s="160">
        <f t="shared" si="32"/>
        <v>10173.0695013</v>
      </c>
      <c r="J57" s="160">
        <f t="shared" si="32"/>
        <v>10173.0695013</v>
      </c>
      <c r="K57" s="160">
        <f t="shared" si="32"/>
        <v>10173.0695013</v>
      </c>
      <c r="L57" s="160">
        <f t="shared" si="32"/>
        <v>10173.0695013</v>
      </c>
      <c r="M57" s="160">
        <f t="shared" si="32"/>
        <v>10173.0695013</v>
      </c>
      <c r="N57" s="160">
        <f t="shared" si="32"/>
        <v>10173.0695013</v>
      </c>
      <c r="O57" s="160">
        <f t="shared" si="32"/>
        <v>10173.0695013</v>
      </c>
      <c r="P57" s="160">
        <f t="shared" si="32"/>
        <v>10173.0695013</v>
      </c>
      <c r="Q57" s="160">
        <f t="shared" si="32"/>
        <v>10173.0695013</v>
      </c>
      <c r="R57" s="160">
        <f t="shared" si="32"/>
        <v>10173.0695013</v>
      </c>
      <c r="S57" s="160">
        <f t="shared" si="32"/>
        <v>10173.0695013</v>
      </c>
      <c r="T57" s="160">
        <f t="shared" si="32"/>
        <v>10173.0695013</v>
      </c>
      <c r="U57" s="160">
        <f t="shared" si="32"/>
        <v>10173.0695013</v>
      </c>
      <c r="V57" s="160">
        <f t="shared" si="32"/>
        <v>10173.0695013</v>
      </c>
      <c r="W57" s="183">
        <f>SUM(C57:V57)</f>
        <v>189113.57235869992</v>
      </c>
      <c r="X57" s="2"/>
      <c r="Y57" s="126" t="e">
        <f>SUM(#REF!)</f>
        <v>#REF!</v>
      </c>
      <c r="Z57" s="126" t="e">
        <f>NPV(5%,#REF!)</f>
        <v>#REF!</v>
      </c>
      <c r="AA57" s="2"/>
      <c r="AB57" s="2"/>
      <c r="AC57" s="2"/>
      <c r="AD57" s="2"/>
      <c r="AE57" s="2"/>
      <c r="AF57" s="2"/>
      <c r="AG57" s="2"/>
      <c r="AH57" s="2"/>
      <c r="AI57" s="2"/>
      <c r="AJ57" s="2"/>
      <c r="AK57" s="2"/>
      <c r="AL57" s="2"/>
      <c r="AM57" s="114"/>
      <c r="AN57" s="96"/>
      <c r="AO57" s="110"/>
      <c r="AP57" s="2"/>
      <c r="AQ57" s="2"/>
      <c r="AR57" s="2"/>
      <c r="AS57" s="2"/>
      <c r="AT57" s="2"/>
      <c r="AU57" s="2"/>
      <c r="AV57" s="2"/>
    </row>
    <row r="58" spans="1:48" ht="17" hidden="1" thickBot="1" x14ac:dyDescent="0.4">
      <c r="A58" s="236" t="s">
        <v>106</v>
      </c>
      <c r="B58" s="162"/>
      <c r="C58" s="259">
        <v>0</v>
      </c>
      <c r="D58" s="227">
        <v>0</v>
      </c>
      <c r="E58" s="227">
        <v>0</v>
      </c>
      <c r="F58" s="227">
        <v>0</v>
      </c>
      <c r="G58" s="227">
        <v>0</v>
      </c>
      <c r="H58" s="227">
        <v>0</v>
      </c>
      <c r="I58" s="227">
        <v>0</v>
      </c>
      <c r="J58" s="227">
        <v>0</v>
      </c>
      <c r="K58" s="227">
        <v>0</v>
      </c>
      <c r="L58" s="227">
        <v>0</v>
      </c>
      <c r="M58" s="227">
        <v>0</v>
      </c>
      <c r="N58" s="227">
        <v>0</v>
      </c>
      <c r="O58" s="227">
        <v>0</v>
      </c>
      <c r="P58" s="227">
        <v>0</v>
      </c>
      <c r="Q58" s="227">
        <v>0</v>
      </c>
      <c r="R58" s="227">
        <v>0</v>
      </c>
      <c r="S58" s="227">
        <v>0</v>
      </c>
      <c r="T58" s="227">
        <v>0</v>
      </c>
      <c r="U58" s="227">
        <v>0</v>
      </c>
      <c r="V58" s="227">
        <v>0</v>
      </c>
      <c r="W58" s="237">
        <f>SUM(C58:V58)</f>
        <v>0</v>
      </c>
      <c r="X58" s="2"/>
      <c r="Y58" s="126" t="e">
        <f>SUM(#REF!)</f>
        <v>#REF!</v>
      </c>
      <c r="Z58" s="126" t="e">
        <f>NPV(5%,#REF!)</f>
        <v>#REF!</v>
      </c>
      <c r="AA58" s="2"/>
      <c r="AB58" s="2"/>
      <c r="AC58" s="2"/>
      <c r="AD58" s="2"/>
      <c r="AE58" s="2"/>
      <c r="AF58" s="2"/>
      <c r="AG58" s="2"/>
      <c r="AH58" s="2"/>
      <c r="AI58" s="2"/>
      <c r="AJ58" s="2"/>
      <c r="AK58" s="2"/>
      <c r="AL58" s="2"/>
      <c r="AM58" s="115">
        <v>119604</v>
      </c>
      <c r="AN58" s="116">
        <v>119604</v>
      </c>
      <c r="AO58" s="110"/>
      <c r="AP58" s="2"/>
      <c r="AQ58" s="2"/>
      <c r="AR58" s="2"/>
      <c r="AS58" s="2"/>
      <c r="AT58" s="2"/>
      <c r="AU58" s="2"/>
      <c r="AV58" s="2"/>
    </row>
    <row r="59" spans="1:48" ht="15" thickBot="1" x14ac:dyDescent="0.4">
      <c r="A59" s="158" t="s">
        <v>113</v>
      </c>
      <c r="B59" s="162"/>
      <c r="C59" s="196">
        <v>150000</v>
      </c>
      <c r="D59" s="163">
        <v>150000</v>
      </c>
      <c r="E59" s="163">
        <v>150000</v>
      </c>
      <c r="F59" s="163">
        <v>150000</v>
      </c>
      <c r="G59" s="163">
        <v>150000</v>
      </c>
      <c r="H59" s="163">
        <v>150000</v>
      </c>
      <c r="I59" s="163">
        <v>150000</v>
      </c>
      <c r="J59" s="163">
        <v>150000</v>
      </c>
      <c r="K59" s="163">
        <v>150000</v>
      </c>
      <c r="L59" s="163">
        <v>150000</v>
      </c>
      <c r="M59" s="163">
        <v>150000</v>
      </c>
      <c r="N59" s="163">
        <v>150000</v>
      </c>
      <c r="O59" s="163">
        <v>150000</v>
      </c>
      <c r="P59" s="163">
        <v>150000</v>
      </c>
      <c r="Q59" s="163">
        <v>150000</v>
      </c>
      <c r="R59" s="163">
        <v>0</v>
      </c>
      <c r="S59" s="163">
        <v>0</v>
      </c>
      <c r="T59" s="163">
        <v>0</v>
      </c>
      <c r="U59" s="163">
        <v>0</v>
      </c>
      <c r="V59" s="163">
        <v>0</v>
      </c>
      <c r="W59" s="184">
        <f>SUM(C59:V59)</f>
        <v>2250000</v>
      </c>
      <c r="X59" s="233" t="s">
        <v>112</v>
      </c>
      <c r="Y59" s="126"/>
      <c r="Z59" s="126"/>
      <c r="AA59" s="2"/>
      <c r="AB59" s="2"/>
      <c r="AC59" s="2"/>
      <c r="AD59" s="2"/>
      <c r="AE59" s="2"/>
      <c r="AF59" s="2"/>
      <c r="AG59" s="2"/>
      <c r="AH59" s="2"/>
      <c r="AI59" s="2"/>
      <c r="AJ59" s="2"/>
      <c r="AK59" s="2"/>
      <c r="AL59" s="2"/>
      <c r="AM59" s="115"/>
      <c r="AN59" s="116"/>
      <c r="AO59" s="110"/>
      <c r="AP59" s="2"/>
      <c r="AQ59" s="2"/>
      <c r="AR59" s="2"/>
      <c r="AS59" s="2"/>
      <c r="AT59" s="2"/>
      <c r="AU59" s="2"/>
      <c r="AV59" s="2"/>
    </row>
    <row r="60" spans="1:48" ht="15" thickBot="1" x14ac:dyDescent="0.4">
      <c r="A60" s="158" t="s">
        <v>114</v>
      </c>
      <c r="B60" s="162"/>
      <c r="C60" s="196">
        <f>C49*0.95</f>
        <v>88097.334845999983</v>
      </c>
      <c r="D60" s="163">
        <f>D49*0.95</f>
        <v>109579.54552470001</v>
      </c>
      <c r="E60" s="163">
        <f t="shared" ref="E60:V60" si="33">E49*0.95</f>
        <v>151433.9330247</v>
      </c>
      <c r="F60" s="163">
        <f t="shared" si="33"/>
        <v>151433.9330247</v>
      </c>
      <c r="G60" s="163">
        <f t="shared" si="33"/>
        <v>193288.32052469996</v>
      </c>
      <c r="H60" s="163">
        <f>H49*0.95</f>
        <v>193288.32052469996</v>
      </c>
      <c r="I60" s="163">
        <f>I49*0.95</f>
        <v>193288.32052469996</v>
      </c>
      <c r="J60" s="163">
        <f t="shared" si="33"/>
        <v>193288.32052469996</v>
      </c>
      <c r="K60" s="163">
        <f t="shared" si="33"/>
        <v>193288.32052469996</v>
      </c>
      <c r="L60" s="163">
        <f>L49*0.95</f>
        <v>193288.32052469996</v>
      </c>
      <c r="M60" s="163">
        <f t="shared" si="33"/>
        <v>193288.32052469996</v>
      </c>
      <c r="N60" s="163">
        <f t="shared" si="33"/>
        <v>193288.32052469996</v>
      </c>
      <c r="O60" s="163">
        <f t="shared" si="33"/>
        <v>193288.32052469996</v>
      </c>
      <c r="P60" s="163">
        <f t="shared" si="33"/>
        <v>193288.32052469996</v>
      </c>
      <c r="Q60" s="163">
        <f t="shared" si="33"/>
        <v>193288.32052469996</v>
      </c>
      <c r="R60" s="163">
        <f t="shared" si="33"/>
        <v>193288.32052469996</v>
      </c>
      <c r="S60" s="163">
        <f t="shared" si="33"/>
        <v>193288.32052469996</v>
      </c>
      <c r="T60" s="163">
        <f t="shared" si="33"/>
        <v>193288.32052469996</v>
      </c>
      <c r="U60" s="163">
        <f t="shared" si="33"/>
        <v>193288.32052469996</v>
      </c>
      <c r="V60" s="163">
        <f t="shared" si="33"/>
        <v>193288.32052469996</v>
      </c>
      <c r="W60" s="184">
        <f>SUM(C60:V60)</f>
        <v>3593157.8748152996</v>
      </c>
      <c r="X60" s="233" t="s">
        <v>115</v>
      </c>
      <c r="Y60" s="126" t="e">
        <f>SUM(#REF!)</f>
        <v>#REF!</v>
      </c>
      <c r="Z60" s="126" t="e">
        <f>NPV(5%,#REF!)</f>
        <v>#REF!</v>
      </c>
      <c r="AA60" s="2"/>
      <c r="AB60" s="2"/>
      <c r="AC60" s="2"/>
      <c r="AD60" s="2"/>
      <c r="AE60" s="2"/>
      <c r="AF60" s="2"/>
      <c r="AG60" s="2"/>
      <c r="AH60" s="2"/>
      <c r="AI60" s="2"/>
      <c r="AJ60" s="2"/>
      <c r="AK60" s="2"/>
      <c r="AL60" s="2"/>
      <c r="AM60" s="118"/>
      <c r="AN60" s="96"/>
      <c r="AO60" s="110"/>
      <c r="AP60" s="2"/>
      <c r="AQ60" s="2"/>
      <c r="AR60" s="2"/>
      <c r="AS60" s="2"/>
      <c r="AT60" s="2"/>
      <c r="AU60" s="2"/>
      <c r="AV60" s="2"/>
    </row>
    <row r="61" spans="1:48" ht="15" thickBot="1" x14ac:dyDescent="0.4">
      <c r="A61" s="170" t="s">
        <v>51</v>
      </c>
      <c r="B61" s="166"/>
      <c r="C61" s="182">
        <f>SUM(C57:C60)</f>
        <v>242734.03667999999</v>
      </c>
      <c r="D61" s="225">
        <f>SUM(D57:D60)</f>
        <v>265346.89002599998</v>
      </c>
      <c r="E61" s="166">
        <f t="shared" ref="E61:V61" si="34">SUM(E57:E60)</f>
        <v>309404.14002599998</v>
      </c>
      <c r="F61" s="166">
        <f t="shared" si="34"/>
        <v>309404.14002599998</v>
      </c>
      <c r="G61" s="166">
        <f t="shared" si="34"/>
        <v>353461.39002599998</v>
      </c>
      <c r="H61" s="166">
        <f t="shared" si="34"/>
        <v>353461.39002599998</v>
      </c>
      <c r="I61" s="166">
        <f t="shared" si="34"/>
        <v>353461.39002599998</v>
      </c>
      <c r="J61" s="166">
        <f t="shared" si="34"/>
        <v>353461.39002599998</v>
      </c>
      <c r="K61" s="166">
        <f t="shared" si="34"/>
        <v>353461.39002599998</v>
      </c>
      <c r="L61" s="166">
        <f t="shared" si="34"/>
        <v>353461.39002599998</v>
      </c>
      <c r="M61" s="166">
        <f t="shared" si="34"/>
        <v>353461.39002599998</v>
      </c>
      <c r="N61" s="166">
        <f t="shared" si="34"/>
        <v>353461.39002599998</v>
      </c>
      <c r="O61" s="166">
        <f t="shared" si="34"/>
        <v>353461.39002599998</v>
      </c>
      <c r="P61" s="166">
        <f t="shared" si="34"/>
        <v>353461.39002599998</v>
      </c>
      <c r="Q61" s="166">
        <f t="shared" si="34"/>
        <v>353461.39002599998</v>
      </c>
      <c r="R61" s="166">
        <f t="shared" si="34"/>
        <v>203461.39002599995</v>
      </c>
      <c r="S61" s="166">
        <f t="shared" si="34"/>
        <v>203461.39002599995</v>
      </c>
      <c r="T61" s="166">
        <f t="shared" si="34"/>
        <v>203461.39002599995</v>
      </c>
      <c r="U61" s="166">
        <f t="shared" si="34"/>
        <v>203461.39002599995</v>
      </c>
      <c r="V61" s="166">
        <f t="shared" si="34"/>
        <v>203461.39002599995</v>
      </c>
      <c r="W61" s="182">
        <f>SUM(W57:W60)</f>
        <v>6032271.4471739996</v>
      </c>
      <c r="X61" s="233" t="s">
        <v>111</v>
      </c>
      <c r="Y61" s="126" t="e">
        <f>SUM(#REF!)</f>
        <v>#REF!</v>
      </c>
      <c r="Z61" s="126" t="e">
        <f>NPV(5%,#REF!)</f>
        <v>#REF!</v>
      </c>
      <c r="AA61" s="2"/>
      <c r="AB61" s="2"/>
      <c r="AC61" s="2"/>
      <c r="AD61" s="2"/>
      <c r="AE61" s="2"/>
      <c r="AF61" s="2"/>
      <c r="AG61" s="2"/>
      <c r="AH61" s="2"/>
      <c r="AI61" s="2"/>
      <c r="AJ61" s="2"/>
      <c r="AK61" s="2"/>
      <c r="AL61" s="2"/>
      <c r="AM61" s="118">
        <v>0</v>
      </c>
      <c r="AN61" s="96">
        <v>0</v>
      </c>
      <c r="AO61" s="110"/>
      <c r="AP61" s="2"/>
      <c r="AQ61" s="2"/>
      <c r="AR61" s="2"/>
      <c r="AS61" s="2"/>
      <c r="AT61" s="2"/>
      <c r="AU61" s="2"/>
      <c r="AV61" s="2"/>
    </row>
    <row r="62" spans="1:48" ht="15" thickBot="1" x14ac:dyDescent="0.4">
      <c r="A62" s="17"/>
      <c r="B62" s="17"/>
      <c r="C62" s="260"/>
      <c r="D62" s="27"/>
      <c r="E62" s="27"/>
      <c r="F62" s="27"/>
      <c r="G62" s="27"/>
      <c r="H62" s="27"/>
      <c r="I62" s="27"/>
      <c r="J62" s="27"/>
      <c r="K62" s="27"/>
      <c r="L62" s="27"/>
      <c r="M62" s="27"/>
      <c r="N62" s="27"/>
      <c r="O62" s="27"/>
      <c r="P62" s="27"/>
      <c r="Q62" s="27"/>
      <c r="R62" s="27"/>
      <c r="S62" s="17"/>
      <c r="T62" s="17"/>
      <c r="U62" s="17"/>
      <c r="V62" s="17"/>
      <c r="W62" s="186"/>
      <c r="X62" s="2"/>
      <c r="Y62" s="126"/>
      <c r="Z62" s="126"/>
      <c r="AA62" s="2"/>
      <c r="AB62" s="2"/>
      <c r="AC62" s="2"/>
      <c r="AD62" s="2"/>
      <c r="AE62" s="2"/>
      <c r="AF62" s="2"/>
      <c r="AG62" s="2"/>
      <c r="AH62" s="2"/>
      <c r="AI62" s="2"/>
      <c r="AJ62" s="2"/>
      <c r="AK62" s="2"/>
      <c r="AL62" s="2"/>
      <c r="AM62" s="117">
        <v>5566</v>
      </c>
      <c r="AN62" s="71">
        <v>33396</v>
      </c>
      <c r="AO62" s="110"/>
      <c r="AP62" s="2"/>
      <c r="AQ62" s="2"/>
      <c r="AR62" s="2"/>
      <c r="AS62" s="2"/>
      <c r="AT62" s="2"/>
      <c r="AU62" s="2"/>
      <c r="AV62" s="2"/>
    </row>
    <row r="63" spans="1:48" ht="15" thickBot="1" x14ac:dyDescent="0.4">
      <c r="A63" s="156" t="s">
        <v>100</v>
      </c>
      <c r="B63" s="157"/>
      <c r="C63" s="156"/>
      <c r="D63" s="157"/>
      <c r="E63" s="157"/>
      <c r="F63" s="157"/>
      <c r="G63" s="157"/>
      <c r="H63" s="157"/>
      <c r="I63" s="157"/>
      <c r="J63" s="157"/>
      <c r="K63" s="157"/>
      <c r="L63" s="157"/>
      <c r="M63" s="157"/>
      <c r="N63" s="157"/>
      <c r="O63" s="157"/>
      <c r="P63" s="157"/>
      <c r="Q63" s="157"/>
      <c r="R63" s="157"/>
      <c r="S63" s="157"/>
      <c r="T63" s="157"/>
      <c r="U63" s="157"/>
      <c r="V63" s="157"/>
      <c r="W63" s="156"/>
      <c r="X63" s="4"/>
      <c r="Y63" s="126"/>
      <c r="Z63" s="126"/>
      <c r="AA63" s="2"/>
      <c r="AB63" s="2"/>
      <c r="AC63" s="2"/>
      <c r="AD63" s="2"/>
      <c r="AE63" s="2"/>
      <c r="AF63" s="2"/>
      <c r="AG63" s="2"/>
      <c r="AH63" s="2"/>
      <c r="AI63" s="2"/>
      <c r="AJ63" s="2"/>
      <c r="AK63" s="2"/>
      <c r="AL63" s="2"/>
      <c r="AM63" s="123">
        <f>SUM(AM58:AM62)</f>
        <v>125170</v>
      </c>
      <c r="AN63" s="123">
        <f>SUM(AN58:AN62)</f>
        <v>153000</v>
      </c>
      <c r="AO63" s="110"/>
      <c r="AP63" s="2"/>
      <c r="AQ63" s="2"/>
      <c r="AR63" s="2"/>
      <c r="AS63" s="2"/>
      <c r="AT63" s="2"/>
      <c r="AU63" s="2"/>
      <c r="AV63" s="2"/>
    </row>
    <row r="64" spans="1:48" x14ac:dyDescent="0.35">
      <c r="A64" s="158" t="s">
        <v>53</v>
      </c>
      <c r="B64" s="159"/>
      <c r="C64" s="195">
        <f>C32-C43</f>
        <v>3967.3160399999997</v>
      </c>
      <c r="D64" s="160">
        <f t="shared" ref="D64:V64" si="35">D32-D43</f>
        <v>4746.2310667500005</v>
      </c>
      <c r="E64" s="160">
        <f t="shared" si="35"/>
        <v>6559.0748167499987</v>
      </c>
      <c r="F64" s="160">
        <f t="shared" si="35"/>
        <v>6559.0748167499987</v>
      </c>
      <c r="G64" s="160">
        <f t="shared" si="35"/>
        <v>8371.9185667499987</v>
      </c>
      <c r="H64" s="160">
        <f t="shared" si="35"/>
        <v>8371.9185667499987</v>
      </c>
      <c r="I64" s="160">
        <f t="shared" si="35"/>
        <v>8371.9185667499987</v>
      </c>
      <c r="J64" s="160">
        <f t="shared" si="35"/>
        <v>8371.9185667499987</v>
      </c>
      <c r="K64" s="160">
        <f t="shared" si="35"/>
        <v>8371.9185667499987</v>
      </c>
      <c r="L64" s="160">
        <f t="shared" si="35"/>
        <v>8371.9185667499987</v>
      </c>
      <c r="M64" s="160">
        <f t="shared" si="35"/>
        <v>8371.9185667499987</v>
      </c>
      <c r="N64" s="160">
        <f t="shared" si="35"/>
        <v>8371.9185667499987</v>
      </c>
      <c r="O64" s="160">
        <f t="shared" si="35"/>
        <v>8371.9185667499987</v>
      </c>
      <c r="P64" s="160">
        <f t="shared" si="35"/>
        <v>8371.9185667499987</v>
      </c>
      <c r="Q64" s="160">
        <f t="shared" si="35"/>
        <v>8371.9185667499987</v>
      </c>
      <c r="R64" s="160">
        <f t="shared" si="35"/>
        <v>8371.9185667499987</v>
      </c>
      <c r="S64" s="160">
        <f t="shared" si="35"/>
        <v>8371.9185667499987</v>
      </c>
      <c r="T64" s="160">
        <f t="shared" si="35"/>
        <v>8371.9185667499987</v>
      </c>
      <c r="U64" s="160">
        <f t="shared" si="35"/>
        <v>8371.9185667499987</v>
      </c>
      <c r="V64" s="160">
        <f t="shared" si="35"/>
        <v>8371.9185667499987</v>
      </c>
      <c r="W64" s="183">
        <f>SUM(C64:V64)</f>
        <v>155782.39380825002</v>
      </c>
      <c r="X64" s="4"/>
      <c r="Y64" s="126" t="e">
        <f>SUM(#REF!)</f>
        <v>#REF!</v>
      </c>
      <c r="Z64" s="126" t="e">
        <f>NPV(5%,#REF!)</f>
        <v>#REF!</v>
      </c>
      <c r="AA64" s="2"/>
      <c r="AB64" s="2"/>
      <c r="AC64" s="2"/>
      <c r="AD64" s="2"/>
      <c r="AE64" s="2"/>
      <c r="AF64" s="2"/>
      <c r="AG64" s="2"/>
      <c r="AH64" s="2"/>
      <c r="AI64" s="2"/>
      <c r="AJ64" s="2"/>
      <c r="AK64" s="2"/>
      <c r="AL64" s="2"/>
      <c r="AM64" s="119"/>
      <c r="AN64" s="120" t="s">
        <v>63</v>
      </c>
      <c r="AO64" s="110"/>
      <c r="AP64" s="2"/>
      <c r="AQ64" s="2"/>
      <c r="AR64" s="2"/>
      <c r="AS64" s="2"/>
      <c r="AT64" s="2"/>
      <c r="AU64" s="2"/>
      <c r="AV64" s="2"/>
    </row>
    <row r="65" spans="1:48" ht="15" thickBot="1" x14ac:dyDescent="0.4">
      <c r="A65" s="158" t="s">
        <v>57</v>
      </c>
      <c r="B65" s="162"/>
      <c r="C65" s="196">
        <f>C33-C44</f>
        <v>56610.912863999998</v>
      </c>
      <c r="D65" s="163">
        <f t="shared" ref="D65:V65" si="36">D33-D44</f>
        <v>66656.847663000008</v>
      </c>
      <c r="E65" s="163">
        <f t="shared" si="36"/>
        <v>92116.722663000008</v>
      </c>
      <c r="F65" s="163">
        <f t="shared" si="36"/>
        <v>92116.722663000008</v>
      </c>
      <c r="G65" s="163">
        <f t="shared" si="36"/>
        <v>117576.59766300001</v>
      </c>
      <c r="H65" s="163">
        <f t="shared" si="36"/>
        <v>117576.59766300001</v>
      </c>
      <c r="I65" s="163">
        <f t="shared" si="36"/>
        <v>117576.59766300001</v>
      </c>
      <c r="J65" s="163">
        <f t="shared" si="36"/>
        <v>117576.59766300001</v>
      </c>
      <c r="K65" s="163">
        <f t="shared" si="36"/>
        <v>117576.59766300001</v>
      </c>
      <c r="L65" s="163">
        <f t="shared" si="36"/>
        <v>117576.59766300001</v>
      </c>
      <c r="M65" s="163">
        <f t="shared" si="36"/>
        <v>117576.59766300001</v>
      </c>
      <c r="N65" s="163">
        <f t="shared" si="36"/>
        <v>117576.59766300001</v>
      </c>
      <c r="O65" s="163">
        <f t="shared" si="36"/>
        <v>117576.59766300001</v>
      </c>
      <c r="P65" s="163">
        <f t="shared" si="36"/>
        <v>117576.59766300001</v>
      </c>
      <c r="Q65" s="163">
        <f t="shared" si="36"/>
        <v>117576.59766300001</v>
      </c>
      <c r="R65" s="163">
        <f t="shared" si="36"/>
        <v>117576.59766300001</v>
      </c>
      <c r="S65" s="163">
        <f t="shared" si="36"/>
        <v>117576.59766300001</v>
      </c>
      <c r="T65" s="163">
        <f t="shared" si="36"/>
        <v>117576.59766300001</v>
      </c>
      <c r="U65" s="163">
        <f t="shared" si="36"/>
        <v>117576.59766300001</v>
      </c>
      <c r="V65" s="163">
        <f t="shared" si="36"/>
        <v>117576.59766300001</v>
      </c>
      <c r="W65" s="184">
        <f>SUM(C65:V65)</f>
        <v>2188726.7684610002</v>
      </c>
      <c r="X65" s="4"/>
      <c r="Y65" s="126" t="e">
        <f>SUM(#REF!)</f>
        <v>#REF!</v>
      </c>
      <c r="Z65" s="126" t="e">
        <f>NPV(5%,#REF!)</f>
        <v>#REF!</v>
      </c>
      <c r="AA65" s="2"/>
      <c r="AB65" s="2"/>
      <c r="AC65" s="2"/>
      <c r="AD65" s="2"/>
      <c r="AE65" s="2"/>
      <c r="AF65" s="2"/>
      <c r="AG65" s="2"/>
      <c r="AH65" s="2"/>
      <c r="AI65" s="2"/>
      <c r="AJ65" s="2"/>
      <c r="AK65" s="2"/>
      <c r="AL65" s="2"/>
      <c r="AM65" s="113" t="s">
        <v>66</v>
      </c>
      <c r="AN65" s="68" t="s">
        <v>67</v>
      </c>
      <c r="AO65" s="110"/>
      <c r="AP65" s="2"/>
      <c r="AQ65" s="2"/>
      <c r="AR65" s="2"/>
      <c r="AS65" s="2"/>
      <c r="AT65" s="2"/>
      <c r="AU65" s="2"/>
      <c r="AV65" s="2"/>
    </row>
    <row r="66" spans="1:48" ht="15" thickBot="1" x14ac:dyDescent="0.4">
      <c r="A66" s="180" t="s">
        <v>54</v>
      </c>
      <c r="B66" s="179"/>
      <c r="C66" s="201">
        <f>C34-C45</f>
        <v>8073.7252320000007</v>
      </c>
      <c r="D66" s="226">
        <f t="shared" ref="D66:V66" si="37">D34-D45</f>
        <v>11483.783054250001</v>
      </c>
      <c r="E66" s="226">
        <f t="shared" si="37"/>
        <v>15870.064304250001</v>
      </c>
      <c r="F66" s="226">
        <f t="shared" si="37"/>
        <v>15870.064304250001</v>
      </c>
      <c r="G66" s="226">
        <f t="shared" si="37"/>
        <v>20256.345554250001</v>
      </c>
      <c r="H66" s="226">
        <f t="shared" si="37"/>
        <v>20256.345554250001</v>
      </c>
      <c r="I66" s="226">
        <f t="shared" si="37"/>
        <v>20256.345554250001</v>
      </c>
      <c r="J66" s="226">
        <f t="shared" si="37"/>
        <v>20256.345554250001</v>
      </c>
      <c r="K66" s="226">
        <f t="shared" si="37"/>
        <v>20256.345554250001</v>
      </c>
      <c r="L66" s="226">
        <f t="shared" si="37"/>
        <v>20256.345554250001</v>
      </c>
      <c r="M66" s="226">
        <f t="shared" si="37"/>
        <v>20256.345554250001</v>
      </c>
      <c r="N66" s="226">
        <f t="shared" si="37"/>
        <v>20256.345554250001</v>
      </c>
      <c r="O66" s="226">
        <f t="shared" si="37"/>
        <v>20256.345554250001</v>
      </c>
      <c r="P66" s="226">
        <f t="shared" si="37"/>
        <v>20256.345554250001</v>
      </c>
      <c r="Q66" s="226">
        <f t="shared" si="37"/>
        <v>20256.345554250001</v>
      </c>
      <c r="R66" s="226">
        <f t="shared" si="37"/>
        <v>20256.345554250001</v>
      </c>
      <c r="S66" s="226">
        <f t="shared" si="37"/>
        <v>20256.345554250001</v>
      </c>
      <c r="T66" s="226">
        <f t="shared" si="37"/>
        <v>20256.345554250001</v>
      </c>
      <c r="U66" s="226">
        <f t="shared" si="37"/>
        <v>20256.345554250001</v>
      </c>
      <c r="V66" s="226">
        <f t="shared" si="37"/>
        <v>20256.345554250001</v>
      </c>
      <c r="W66" s="228">
        <f>SUM(C66:V66)</f>
        <v>375399.16576275002</v>
      </c>
      <c r="X66" s="4"/>
      <c r="Y66" s="126" t="e">
        <f>SUM(#REF!)</f>
        <v>#REF!</v>
      </c>
      <c r="Z66" s="126" t="e">
        <f>NPV(5%,#REF!)</f>
        <v>#REF!</v>
      </c>
      <c r="AA66" s="2"/>
      <c r="AB66" s="2"/>
      <c r="AC66" s="2"/>
      <c r="AD66" s="2"/>
      <c r="AE66" s="2"/>
      <c r="AF66" s="2"/>
      <c r="AG66" s="2"/>
      <c r="AH66" s="2"/>
      <c r="AI66" s="2"/>
      <c r="AJ66" s="2"/>
      <c r="AK66" s="2"/>
      <c r="AL66" s="2"/>
      <c r="AM66" s="121"/>
      <c r="AN66" s="122"/>
      <c r="AO66" s="110"/>
      <c r="AP66" s="2"/>
      <c r="AQ66" s="2"/>
      <c r="AR66" s="2"/>
      <c r="AS66" s="2"/>
      <c r="AT66" s="2"/>
      <c r="AU66" s="2"/>
      <c r="AV66" s="2"/>
    </row>
    <row r="67" spans="1:48" ht="15" thickBot="1" x14ac:dyDescent="0.4">
      <c r="A67" s="3"/>
      <c r="B67" s="3"/>
      <c r="C67" s="3"/>
      <c r="D67" s="3"/>
      <c r="E67" s="3"/>
      <c r="F67" s="3"/>
      <c r="G67" s="3"/>
      <c r="H67" s="3"/>
      <c r="I67" s="3"/>
      <c r="J67" s="3"/>
      <c r="K67" s="3"/>
      <c r="L67" s="3"/>
      <c r="M67" s="3"/>
      <c r="N67" s="3"/>
      <c r="O67" s="3"/>
      <c r="P67" s="3"/>
      <c r="Q67" s="3"/>
      <c r="R67" s="3"/>
      <c r="S67" s="3"/>
      <c r="T67" s="3"/>
      <c r="U67" s="3"/>
      <c r="V67" s="3"/>
      <c r="W67" s="29">
        <f>SUM(W61:W66)</f>
        <v>8752179.7752059996</v>
      </c>
      <c r="X67" s="3"/>
      <c r="Y67" s="25"/>
      <c r="Z67" s="25"/>
      <c r="AA67" s="3"/>
      <c r="AB67" s="3"/>
      <c r="AC67" s="2"/>
      <c r="AD67" s="2"/>
      <c r="AE67" s="2"/>
      <c r="AF67" s="2"/>
      <c r="AG67" s="2"/>
      <c r="AH67" s="2"/>
      <c r="AI67" s="2"/>
      <c r="AJ67" s="2"/>
      <c r="AK67" s="2"/>
      <c r="AL67" s="2"/>
      <c r="AM67" s="117">
        <v>119604</v>
      </c>
      <c r="AN67" s="71">
        <v>119604</v>
      </c>
      <c r="AO67" s="110"/>
      <c r="AP67" s="2"/>
      <c r="AQ67" s="2"/>
      <c r="AR67" s="2"/>
      <c r="AS67" s="2"/>
      <c r="AT67" s="2"/>
      <c r="AU67" s="2"/>
      <c r="AV67" s="2"/>
    </row>
    <row r="68" spans="1:48" ht="21.5" thickBot="1" x14ac:dyDescent="0.55000000000000004">
      <c r="A68" s="28"/>
      <c r="B68" s="3"/>
      <c r="C68" s="235" t="s">
        <v>110</v>
      </c>
      <c r="S68" s="1"/>
      <c r="T68" s="2"/>
      <c r="U68" s="2"/>
      <c r="V68" s="2"/>
      <c r="W68" s="29">
        <f>W67-W59</f>
        <v>6502179.7752059996</v>
      </c>
      <c r="X68" s="3"/>
      <c r="Y68" s="3"/>
      <c r="Z68" s="3"/>
      <c r="AA68" s="3"/>
      <c r="AB68" s="3"/>
      <c r="AC68" s="2"/>
      <c r="AD68" s="2"/>
      <c r="AE68" s="2"/>
      <c r="AF68" s="2"/>
      <c r="AG68" s="2"/>
      <c r="AH68" s="2"/>
      <c r="AI68" s="2"/>
      <c r="AJ68" s="2"/>
      <c r="AK68" s="2"/>
      <c r="AL68" s="2"/>
      <c r="AM68" s="117">
        <v>2293684</v>
      </c>
      <c r="AN68" s="71">
        <v>13608233</v>
      </c>
      <c r="AO68" s="110"/>
      <c r="AP68" s="2"/>
      <c r="AQ68" s="2"/>
      <c r="AR68" s="2"/>
      <c r="AS68" s="2"/>
      <c r="AT68" s="2"/>
      <c r="AU68" s="2"/>
      <c r="AV68" s="2"/>
    </row>
    <row r="69" spans="1:48" ht="15" thickBot="1" x14ac:dyDescent="0.4">
      <c r="A69" s="28"/>
      <c r="B69" s="3"/>
      <c r="C69" s="234">
        <v>19825000</v>
      </c>
      <c r="D69" s="234">
        <v>27450000</v>
      </c>
      <c r="E69" s="234">
        <v>27450000</v>
      </c>
      <c r="F69" s="234">
        <v>35075000</v>
      </c>
      <c r="G69" s="234">
        <v>35075000</v>
      </c>
      <c r="H69" s="234">
        <v>35075000</v>
      </c>
      <c r="I69" s="234">
        <v>35075000</v>
      </c>
      <c r="J69" s="234">
        <v>35075000</v>
      </c>
      <c r="K69" s="234">
        <v>35075000</v>
      </c>
      <c r="L69" s="234">
        <v>35075000</v>
      </c>
      <c r="M69" s="234">
        <v>35075000</v>
      </c>
      <c r="N69" s="234">
        <v>35075000</v>
      </c>
      <c r="O69" s="234">
        <v>35075000</v>
      </c>
      <c r="P69" s="234">
        <v>35075000</v>
      </c>
      <c r="Q69" s="234">
        <v>35075000</v>
      </c>
      <c r="R69" s="234">
        <v>35075000</v>
      </c>
      <c r="S69" s="234">
        <v>35075000</v>
      </c>
      <c r="T69" s="234">
        <v>35075000</v>
      </c>
      <c r="U69" s="234">
        <v>35075000</v>
      </c>
      <c r="V69" s="234">
        <v>35075000</v>
      </c>
      <c r="W69" s="29"/>
      <c r="X69" s="3"/>
      <c r="Y69" s="3"/>
      <c r="Z69" s="3"/>
      <c r="AA69" s="3"/>
      <c r="AB69" s="3"/>
      <c r="AC69" s="2"/>
      <c r="AD69" s="2"/>
      <c r="AE69" s="2"/>
      <c r="AF69" s="2"/>
      <c r="AG69" s="2"/>
      <c r="AH69" s="2"/>
      <c r="AI69" s="2"/>
      <c r="AJ69" s="2"/>
      <c r="AK69" s="2"/>
      <c r="AL69" s="2"/>
      <c r="AM69" s="124">
        <f>SUM(AM67:AM68)</f>
        <v>2413288</v>
      </c>
      <c r="AN69" s="124">
        <f>SUM(AN67:AN68)</f>
        <v>13727837</v>
      </c>
      <c r="AO69" s="110"/>
      <c r="AP69" s="2"/>
      <c r="AQ69" s="2"/>
      <c r="AR69" s="2"/>
      <c r="AS69" s="2"/>
      <c r="AT69" s="2"/>
      <c r="AU69" s="2"/>
      <c r="AV69" s="2"/>
    </row>
    <row r="70" spans="1:48" x14ac:dyDescent="0.35">
      <c r="A70" s="28"/>
      <c r="B70" s="3"/>
      <c r="C70" s="3"/>
      <c r="D70" s="239">
        <f>(D69-C69)/C69</f>
        <v>0.38461538461538464</v>
      </c>
      <c r="E70" s="239">
        <f t="shared" ref="E70:V70" si="38">(E69-D69)/D69</f>
        <v>0</v>
      </c>
      <c r="F70" s="239">
        <f t="shared" si="38"/>
        <v>0.27777777777777779</v>
      </c>
      <c r="G70" s="239">
        <f t="shared" si="38"/>
        <v>0</v>
      </c>
      <c r="H70" s="239">
        <f t="shared" si="38"/>
        <v>0</v>
      </c>
      <c r="I70" s="239">
        <f t="shared" si="38"/>
        <v>0</v>
      </c>
      <c r="J70" s="239">
        <f t="shared" si="38"/>
        <v>0</v>
      </c>
      <c r="K70" s="239">
        <f t="shared" si="38"/>
        <v>0</v>
      </c>
      <c r="L70" s="239">
        <f t="shared" si="38"/>
        <v>0</v>
      </c>
      <c r="M70" s="239">
        <f t="shared" si="38"/>
        <v>0</v>
      </c>
      <c r="N70" s="239">
        <f t="shared" si="38"/>
        <v>0</v>
      </c>
      <c r="O70" s="239">
        <f t="shared" si="38"/>
        <v>0</v>
      </c>
      <c r="P70" s="239">
        <f t="shared" si="38"/>
        <v>0</v>
      </c>
      <c r="Q70" s="239">
        <f t="shared" si="38"/>
        <v>0</v>
      </c>
      <c r="R70" s="239">
        <f t="shared" si="38"/>
        <v>0</v>
      </c>
      <c r="S70" s="239">
        <f t="shared" si="38"/>
        <v>0</v>
      </c>
      <c r="T70" s="239">
        <f t="shared" si="38"/>
        <v>0</v>
      </c>
      <c r="U70" s="239">
        <f t="shared" si="38"/>
        <v>0</v>
      </c>
      <c r="V70" s="239">
        <f t="shared" si="38"/>
        <v>0</v>
      </c>
      <c r="W70" s="29"/>
      <c r="X70" s="3"/>
      <c r="Y70" s="3"/>
      <c r="Z70" s="3"/>
      <c r="AA70" s="3"/>
      <c r="AB70" s="3"/>
      <c r="AC70" s="2"/>
      <c r="AD70" s="2"/>
      <c r="AE70" s="2"/>
      <c r="AF70" s="2"/>
      <c r="AG70" s="2"/>
      <c r="AH70" s="2"/>
      <c r="AI70" s="2"/>
      <c r="AJ70" s="2"/>
      <c r="AK70" s="2"/>
      <c r="AL70" s="2"/>
      <c r="AM70" s="2"/>
      <c r="AN70" s="2"/>
      <c r="AO70" s="2"/>
      <c r="AP70" s="2"/>
      <c r="AQ70" s="2"/>
      <c r="AR70" s="2"/>
      <c r="AS70" s="2"/>
      <c r="AT70" s="2"/>
      <c r="AU70" s="2"/>
      <c r="AV70" s="2"/>
    </row>
    <row r="71" spans="1:48" x14ac:dyDescent="0.35">
      <c r="A71" s="28"/>
      <c r="B71" s="3"/>
      <c r="C71" s="3"/>
      <c r="D71" s="3"/>
      <c r="E71" s="3"/>
      <c r="F71" s="3"/>
      <c r="G71" s="3"/>
      <c r="H71" s="3"/>
      <c r="I71" s="3"/>
      <c r="J71" s="3"/>
      <c r="K71" s="3"/>
      <c r="L71" s="3"/>
      <c r="M71" s="3"/>
      <c r="N71" s="3"/>
      <c r="O71" s="3"/>
      <c r="P71" s="3"/>
      <c r="Q71" s="3"/>
      <c r="R71" s="3"/>
      <c r="S71" s="3"/>
      <c r="T71" s="3"/>
      <c r="U71" s="3"/>
      <c r="V71" s="3"/>
      <c r="W71" s="29"/>
      <c r="X71" s="3"/>
      <c r="Y71" s="3"/>
      <c r="Z71" s="3"/>
      <c r="AA71" s="3"/>
      <c r="AB71" s="3"/>
      <c r="AC71" s="2"/>
      <c r="AD71" s="2"/>
      <c r="AE71" s="2"/>
      <c r="AF71" s="2"/>
      <c r="AG71" s="2"/>
      <c r="AH71" s="2"/>
      <c r="AI71" s="2"/>
      <c r="AJ71" s="2"/>
      <c r="AK71" s="2"/>
      <c r="AL71" s="2"/>
      <c r="AM71" s="2"/>
      <c r="AN71" s="2"/>
      <c r="AO71" s="2"/>
      <c r="AP71" s="2"/>
      <c r="AQ71" s="2"/>
      <c r="AR71" s="2"/>
      <c r="AS71" s="2"/>
      <c r="AT71" s="2"/>
      <c r="AU71" s="2"/>
      <c r="AV71" s="2"/>
    </row>
    <row r="72" spans="1:48" x14ac:dyDescent="0.35">
      <c r="A72" s="28"/>
      <c r="B72" s="3"/>
      <c r="C72" s="3"/>
      <c r="D72" s="3"/>
      <c r="E72" s="3"/>
      <c r="F72" s="3"/>
      <c r="G72" s="3"/>
      <c r="H72" s="3"/>
      <c r="I72" s="3"/>
      <c r="J72" s="3"/>
      <c r="K72" s="3"/>
      <c r="L72" s="3"/>
      <c r="M72" s="3"/>
      <c r="N72" s="3"/>
      <c r="O72" s="3"/>
      <c r="P72" s="3"/>
      <c r="Q72" s="3"/>
      <c r="R72" s="3"/>
      <c r="S72" s="3"/>
      <c r="T72" s="3"/>
      <c r="U72" s="3"/>
      <c r="V72" s="176"/>
      <c r="W72" s="29"/>
      <c r="X72" s="3"/>
      <c r="Y72" s="3"/>
      <c r="Z72" s="3"/>
      <c r="AA72" s="3"/>
      <c r="AB72" s="3"/>
      <c r="AC72" s="2"/>
      <c r="AD72" s="2"/>
      <c r="AE72" s="2"/>
      <c r="AF72" s="2"/>
      <c r="AG72" s="2"/>
      <c r="AH72" s="2"/>
      <c r="AI72" s="2"/>
      <c r="AJ72" s="2"/>
      <c r="AK72" s="2"/>
      <c r="AL72" s="2"/>
      <c r="AM72" s="2"/>
      <c r="AN72" s="2"/>
      <c r="AO72" s="2"/>
      <c r="AP72" s="2"/>
      <c r="AQ72" s="2"/>
      <c r="AR72" s="2"/>
      <c r="AS72" s="2"/>
      <c r="AT72" s="2"/>
      <c r="AU72" s="2"/>
      <c r="AV72" s="2"/>
    </row>
    <row r="73" spans="1:48" x14ac:dyDescent="0.35">
      <c r="A73" s="28"/>
      <c r="B73" s="3"/>
      <c r="C73" s="3">
        <v>1</v>
      </c>
      <c r="D73" s="3">
        <v>2</v>
      </c>
      <c r="E73" s="3">
        <v>3</v>
      </c>
      <c r="F73" s="3">
        <v>4</v>
      </c>
      <c r="G73" s="3">
        <v>5</v>
      </c>
      <c r="H73" s="3">
        <v>6</v>
      </c>
      <c r="I73" s="3">
        <v>7</v>
      </c>
      <c r="J73" s="3">
        <v>8</v>
      </c>
      <c r="K73" s="3">
        <v>9</v>
      </c>
      <c r="L73" s="3">
        <v>10</v>
      </c>
      <c r="M73" s="3">
        <v>11</v>
      </c>
      <c r="N73" s="3">
        <v>12</v>
      </c>
      <c r="O73" s="3">
        <v>13</v>
      </c>
      <c r="P73" s="3">
        <v>14</v>
      </c>
      <c r="Q73" s="3">
        <v>15</v>
      </c>
      <c r="R73" s="3">
        <v>16</v>
      </c>
      <c r="S73" s="3">
        <v>17</v>
      </c>
      <c r="T73" s="3">
        <v>18</v>
      </c>
      <c r="U73" s="3">
        <v>19</v>
      </c>
      <c r="V73" s="3">
        <v>20</v>
      </c>
      <c r="W73" s="29"/>
      <c r="X73" s="3"/>
      <c r="Y73" s="3"/>
      <c r="Z73" s="3"/>
      <c r="AA73" s="3"/>
      <c r="AB73" s="3"/>
      <c r="AC73" s="2"/>
      <c r="AD73" s="2"/>
      <c r="AE73" s="2"/>
      <c r="AF73" s="2"/>
      <c r="AG73" s="2"/>
      <c r="AH73" s="2"/>
      <c r="AI73" s="2"/>
      <c r="AJ73" s="2"/>
      <c r="AK73" s="2"/>
      <c r="AL73" s="2"/>
      <c r="AM73" s="2"/>
      <c r="AN73" s="2"/>
      <c r="AO73" s="2"/>
      <c r="AP73" s="2"/>
      <c r="AQ73" s="2"/>
      <c r="AR73" s="2"/>
      <c r="AS73" s="2"/>
      <c r="AT73" s="2"/>
      <c r="AU73" s="2"/>
      <c r="AV73" s="2"/>
    </row>
    <row r="74" spans="1:48" x14ac:dyDescent="0.35">
      <c r="A74" s="30" t="s">
        <v>18</v>
      </c>
      <c r="B74" s="31"/>
      <c r="C74" s="33"/>
      <c r="D74" s="33"/>
      <c r="E74" s="33"/>
      <c r="F74" s="33"/>
      <c r="G74" s="33"/>
      <c r="H74" s="33"/>
      <c r="I74" s="33"/>
      <c r="J74" s="33"/>
      <c r="K74" s="33"/>
      <c r="L74" s="33"/>
      <c r="M74" s="33"/>
      <c r="N74" s="33"/>
      <c r="O74" s="33"/>
      <c r="P74" s="33"/>
      <c r="Q74" s="33"/>
      <c r="R74" s="33"/>
      <c r="S74" s="33"/>
      <c r="T74" s="33"/>
      <c r="U74" s="33"/>
      <c r="V74" s="34"/>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row>
    <row r="75" spans="1:48" x14ac:dyDescent="0.35">
      <c r="A75" s="36"/>
      <c r="B75" s="31"/>
      <c r="C75" s="33"/>
      <c r="D75" s="33"/>
      <c r="E75" s="33"/>
      <c r="F75" s="33"/>
      <c r="G75" s="33"/>
      <c r="H75" s="33"/>
      <c r="I75" s="33"/>
      <c r="J75" s="33"/>
      <c r="K75" s="33"/>
      <c r="L75" s="33"/>
      <c r="M75" s="33"/>
      <c r="N75" s="33"/>
      <c r="O75" s="33"/>
      <c r="P75" s="33"/>
      <c r="Q75" s="33"/>
      <c r="R75" s="33"/>
      <c r="S75" s="33"/>
      <c r="T75" s="33"/>
      <c r="U75" s="33"/>
      <c r="V75" s="34"/>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row>
    <row r="76" spans="1:48" x14ac:dyDescent="0.35">
      <c r="A76" s="30" t="s">
        <v>19</v>
      </c>
      <c r="B76" s="31"/>
      <c r="C76" s="33"/>
      <c r="D76" s="33"/>
      <c r="E76" s="33"/>
      <c r="F76" s="33"/>
      <c r="G76" s="33"/>
      <c r="H76" s="33"/>
      <c r="I76" s="33"/>
      <c r="J76" s="33"/>
      <c r="K76" s="33"/>
      <c r="L76" s="33"/>
      <c r="M76" s="33"/>
      <c r="N76" s="33"/>
      <c r="O76" s="33"/>
      <c r="P76" s="33"/>
      <c r="Q76" s="33"/>
      <c r="R76" s="33"/>
      <c r="S76" s="33"/>
      <c r="T76" s="33"/>
      <c r="U76" s="33"/>
      <c r="V76" s="34"/>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row>
    <row r="77" spans="1:48" outlineLevel="1" x14ac:dyDescent="0.35">
      <c r="A77" s="37" t="s">
        <v>20</v>
      </c>
      <c r="B77" s="38"/>
      <c r="C77" s="39"/>
      <c r="D77" s="39"/>
      <c r="E77" s="39"/>
      <c r="F77" s="39"/>
      <c r="G77" s="39"/>
      <c r="H77" s="39"/>
      <c r="I77" s="39"/>
      <c r="J77" s="39"/>
      <c r="K77" s="39"/>
      <c r="L77" s="39"/>
      <c r="M77" s="39"/>
      <c r="N77" s="39"/>
      <c r="O77" s="39"/>
      <c r="P77" s="39"/>
      <c r="Q77" s="39"/>
      <c r="R77" s="39"/>
      <c r="S77" s="39"/>
      <c r="T77" s="39"/>
      <c r="U77" s="39"/>
      <c r="V77" s="40"/>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row>
    <row r="78" spans="1:48" outlineLevel="1" x14ac:dyDescent="0.35">
      <c r="A78" s="42" t="s">
        <v>21</v>
      </c>
      <c r="B78" s="31"/>
      <c r="C78" s="43">
        <f>C17</f>
        <v>12644832</v>
      </c>
      <c r="D78" s="43"/>
      <c r="E78" s="43"/>
      <c r="F78" s="43"/>
      <c r="G78" s="43"/>
      <c r="H78" s="43"/>
      <c r="I78" s="43"/>
      <c r="J78" s="43"/>
      <c r="K78" s="43"/>
      <c r="L78" s="43"/>
      <c r="M78" s="43"/>
      <c r="N78" s="43"/>
      <c r="O78" s="43"/>
      <c r="P78" s="43"/>
      <c r="Q78" s="43"/>
      <c r="R78" s="43"/>
      <c r="S78" s="43">
        <f>S17</f>
        <v>35213117</v>
      </c>
      <c r="T78" s="43">
        <f>T17</f>
        <v>35213117</v>
      </c>
      <c r="U78" s="43">
        <f>U17</f>
        <v>35213117</v>
      </c>
      <c r="V78" s="34"/>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row>
    <row r="79" spans="1:48" outlineLevel="1" x14ac:dyDescent="0.35">
      <c r="A79" s="42" t="s">
        <v>22</v>
      </c>
      <c r="B79" s="43">
        <f>C22</f>
        <v>0</v>
      </c>
      <c r="C79" s="43" t="e">
        <f>#REF!</f>
        <v>#REF!</v>
      </c>
      <c r="D79" s="43"/>
      <c r="E79" s="43"/>
      <c r="F79" s="43"/>
      <c r="G79" s="43"/>
      <c r="H79" s="43"/>
      <c r="I79" s="43"/>
      <c r="J79" s="43"/>
      <c r="K79" s="43"/>
      <c r="L79" s="43"/>
      <c r="M79" s="43"/>
      <c r="N79" s="43"/>
      <c r="O79" s="43"/>
      <c r="P79" s="43"/>
      <c r="Q79" s="43"/>
      <c r="R79" s="43"/>
      <c r="S79" s="43">
        <f>C17</f>
        <v>12644832</v>
      </c>
      <c r="T79" s="43">
        <f>S17</f>
        <v>35213117</v>
      </c>
      <c r="U79" s="43">
        <f>T17</f>
        <v>35213117</v>
      </c>
      <c r="V79" s="34"/>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row>
    <row r="80" spans="1:48" outlineLevel="1" x14ac:dyDescent="0.35">
      <c r="A80" s="44" t="s">
        <v>23</v>
      </c>
      <c r="B80" s="31"/>
      <c r="C80" s="45" t="e">
        <f t="shared" ref="C80:U80" si="39">(C78-C79)/C79</f>
        <v>#REF!</v>
      </c>
      <c r="D80" s="45"/>
      <c r="E80" s="45"/>
      <c r="F80" s="45"/>
      <c r="G80" s="45"/>
      <c r="H80" s="45"/>
      <c r="I80" s="45"/>
      <c r="J80" s="45"/>
      <c r="K80" s="45"/>
      <c r="L80" s="45"/>
      <c r="M80" s="45"/>
      <c r="N80" s="45"/>
      <c r="O80" s="45"/>
      <c r="P80" s="45"/>
      <c r="Q80" s="45"/>
      <c r="R80" s="45"/>
      <c r="S80" s="45">
        <f t="shared" si="39"/>
        <v>1.7847833011937209</v>
      </c>
      <c r="T80" s="45">
        <f t="shared" si="39"/>
        <v>0</v>
      </c>
      <c r="U80" s="45">
        <f t="shared" si="39"/>
        <v>0</v>
      </c>
      <c r="V80" s="34"/>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row>
    <row r="81" spans="1:48" outlineLevel="1" x14ac:dyDescent="0.35">
      <c r="A81" s="44" t="s">
        <v>24</v>
      </c>
      <c r="B81" s="31"/>
      <c r="C81" s="45" t="e">
        <f t="shared" ref="C81:U81" si="40">(C78-$B$79)/$B$79</f>
        <v>#DIV/0!</v>
      </c>
      <c r="D81" s="45"/>
      <c r="E81" s="45"/>
      <c r="F81" s="45"/>
      <c r="G81" s="45"/>
      <c r="H81" s="45"/>
      <c r="I81" s="45"/>
      <c r="J81" s="45"/>
      <c r="K81" s="45"/>
      <c r="L81" s="45"/>
      <c r="M81" s="45"/>
      <c r="N81" s="45"/>
      <c r="O81" s="45"/>
      <c r="P81" s="45"/>
      <c r="Q81" s="45"/>
      <c r="R81" s="45"/>
      <c r="S81" s="45" t="e">
        <f t="shared" si="40"/>
        <v>#DIV/0!</v>
      </c>
      <c r="T81" s="45" t="e">
        <f t="shared" si="40"/>
        <v>#DIV/0!</v>
      </c>
      <c r="U81" s="45" t="e">
        <f t="shared" si="40"/>
        <v>#DIV/0!</v>
      </c>
      <c r="V81" s="34"/>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row>
    <row r="82" spans="1:48" outlineLevel="1" x14ac:dyDescent="0.35">
      <c r="A82" s="44" t="s">
        <v>25</v>
      </c>
      <c r="B82" s="31"/>
      <c r="C82" s="46" t="e">
        <f t="shared" ref="C82:U82" si="41">(C78/$B$79)^(1/C93)-1</f>
        <v>#DIV/0!</v>
      </c>
      <c r="D82" s="46"/>
      <c r="E82" s="46"/>
      <c r="F82" s="46"/>
      <c r="G82" s="46"/>
      <c r="H82" s="46"/>
      <c r="I82" s="46"/>
      <c r="J82" s="46"/>
      <c r="K82" s="46"/>
      <c r="L82" s="46"/>
      <c r="M82" s="46"/>
      <c r="N82" s="46"/>
      <c r="O82" s="46"/>
      <c r="P82" s="46"/>
      <c r="Q82" s="46"/>
      <c r="R82" s="46"/>
      <c r="S82" s="46" t="e">
        <f t="shared" si="41"/>
        <v>#DIV/0!</v>
      </c>
      <c r="T82" s="46" t="e">
        <f t="shared" si="41"/>
        <v>#DIV/0!</v>
      </c>
      <c r="U82" s="46" t="e">
        <f t="shared" si="41"/>
        <v>#DIV/0!</v>
      </c>
      <c r="V82" s="34"/>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row>
    <row r="83" spans="1:48" outlineLevel="1" x14ac:dyDescent="0.35">
      <c r="A83" s="44" t="s">
        <v>26</v>
      </c>
      <c r="B83" s="31"/>
      <c r="C83" s="45" t="e">
        <f t="shared" ref="C83:U83" si="42">(C78/$B$79)^(1/C93)-1</f>
        <v>#DIV/0!</v>
      </c>
      <c r="D83" s="45"/>
      <c r="E83" s="45"/>
      <c r="F83" s="45"/>
      <c r="G83" s="45"/>
      <c r="H83" s="45"/>
      <c r="I83" s="45"/>
      <c r="J83" s="45"/>
      <c r="K83" s="45"/>
      <c r="L83" s="45"/>
      <c r="M83" s="45"/>
      <c r="N83" s="45"/>
      <c r="O83" s="45"/>
      <c r="P83" s="45"/>
      <c r="Q83" s="45"/>
      <c r="R83" s="45"/>
      <c r="S83" s="45" t="e">
        <f t="shared" si="42"/>
        <v>#DIV/0!</v>
      </c>
      <c r="T83" s="45" t="e">
        <f t="shared" si="42"/>
        <v>#DIV/0!</v>
      </c>
      <c r="U83" s="45" t="e">
        <f t="shared" si="42"/>
        <v>#DIV/0!</v>
      </c>
      <c r="V83" s="34"/>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row>
    <row r="84" spans="1:48" outlineLevel="1" x14ac:dyDescent="0.35">
      <c r="A84" s="44"/>
      <c r="B84" s="31"/>
      <c r="C84" s="45"/>
      <c r="D84" s="45"/>
      <c r="E84" s="45"/>
      <c r="F84" s="45"/>
      <c r="G84" s="45"/>
      <c r="H84" s="45"/>
      <c r="I84" s="45"/>
      <c r="J84" s="45"/>
      <c r="K84" s="45"/>
      <c r="L84" s="45"/>
      <c r="M84" s="45"/>
      <c r="N84" s="45"/>
      <c r="O84" s="45"/>
      <c r="P84" s="45"/>
      <c r="Q84" s="45"/>
      <c r="R84" s="45"/>
      <c r="S84" s="45"/>
      <c r="T84" s="33"/>
      <c r="U84" s="33"/>
      <c r="V84" s="34"/>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row>
    <row r="85" spans="1:48" outlineLevel="1" x14ac:dyDescent="0.35">
      <c r="A85" s="36" t="s">
        <v>54</v>
      </c>
      <c r="B85" s="31"/>
      <c r="C85" s="45"/>
      <c r="D85" s="45"/>
      <c r="E85" s="45"/>
      <c r="F85" s="45"/>
      <c r="G85" s="45"/>
      <c r="H85" s="45"/>
      <c r="I85" s="45"/>
      <c r="J85" s="45"/>
      <c r="K85" s="45"/>
      <c r="L85" s="45"/>
      <c r="M85" s="45"/>
      <c r="N85" s="45"/>
      <c r="O85" s="45"/>
      <c r="P85" s="45"/>
      <c r="Q85" s="45"/>
      <c r="R85" s="45"/>
      <c r="S85" s="45"/>
      <c r="T85" s="33"/>
      <c r="U85" s="33"/>
      <c r="V85" s="34"/>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row>
    <row r="86" spans="1:48" outlineLevel="1" x14ac:dyDescent="0.35">
      <c r="A86" s="42" t="s">
        <v>21</v>
      </c>
      <c r="B86" s="97">
        <v>1997</v>
      </c>
      <c r="C86" s="43">
        <v>1204580532</v>
      </c>
      <c r="D86" s="43"/>
      <c r="E86" s="43"/>
      <c r="F86" s="43"/>
      <c r="G86" s="43"/>
      <c r="H86" s="43"/>
      <c r="I86" s="43"/>
      <c r="J86" s="43"/>
      <c r="K86" s="43"/>
      <c r="L86" s="43"/>
      <c r="M86" s="43"/>
      <c r="N86" s="43"/>
      <c r="O86" s="43"/>
      <c r="P86" s="43"/>
      <c r="Q86" s="43"/>
      <c r="R86" s="43"/>
      <c r="S86" s="43">
        <v>1466339474</v>
      </c>
      <c r="T86" s="33">
        <v>1576891710</v>
      </c>
      <c r="U86" s="33">
        <v>1782491357</v>
      </c>
      <c r="V86" s="34"/>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row>
    <row r="87" spans="1:48" outlineLevel="1" x14ac:dyDescent="0.35">
      <c r="A87" s="42" t="s">
        <v>22</v>
      </c>
      <c r="B87" s="32">
        <v>1190576948</v>
      </c>
      <c r="C87" s="43" t="e">
        <f>#REF!</f>
        <v>#REF!</v>
      </c>
      <c r="D87" s="43"/>
      <c r="E87" s="43"/>
      <c r="F87" s="43"/>
      <c r="G87" s="43"/>
      <c r="H87" s="43"/>
      <c r="I87" s="43"/>
      <c r="J87" s="43"/>
      <c r="K87" s="43"/>
      <c r="L87" s="43"/>
      <c r="M87" s="43"/>
      <c r="N87" s="43"/>
      <c r="O87" s="43"/>
      <c r="P87" s="43"/>
      <c r="Q87" s="43"/>
      <c r="R87" s="43"/>
      <c r="S87" s="43">
        <f>C86</f>
        <v>1204580532</v>
      </c>
      <c r="T87" s="43">
        <f t="shared" ref="T87:U87" si="43">S86</f>
        <v>1466339474</v>
      </c>
      <c r="U87" s="43">
        <f t="shared" si="43"/>
        <v>1576891710</v>
      </c>
      <c r="V87" s="34"/>
      <c r="W87" s="140"/>
      <c r="X87" s="140"/>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row>
    <row r="88" spans="1:48" outlineLevel="1" x14ac:dyDescent="0.35">
      <c r="A88" s="44" t="s">
        <v>23</v>
      </c>
      <c r="B88" s="31"/>
      <c r="C88" s="45" t="e">
        <f>(C86-C87)/C87</f>
        <v>#REF!</v>
      </c>
      <c r="D88" s="45"/>
      <c r="E88" s="45"/>
      <c r="F88" s="45"/>
      <c r="G88" s="45"/>
      <c r="H88" s="45"/>
      <c r="I88" s="45"/>
      <c r="J88" s="45"/>
      <c r="K88" s="45"/>
      <c r="L88" s="45"/>
      <c r="M88" s="45"/>
      <c r="N88" s="45"/>
      <c r="O88" s="45"/>
      <c r="P88" s="45"/>
      <c r="Q88" s="45"/>
      <c r="R88" s="45"/>
      <c r="S88" s="45">
        <f t="shared" ref="S88" si="44">(S86-S87)/S87</f>
        <v>0.21730298227997594</v>
      </c>
      <c r="T88" s="45">
        <f>(T86-T87)/T87</f>
        <v>7.5393343738081764E-2</v>
      </c>
      <c r="U88" s="45">
        <f>(U86-U87)/U87</f>
        <v>0.13038285742525718</v>
      </c>
      <c r="V88" s="34"/>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row>
    <row r="89" spans="1:48" outlineLevel="1" x14ac:dyDescent="0.35">
      <c r="A89" s="44" t="s">
        <v>24</v>
      </c>
      <c r="B89" s="31"/>
      <c r="C89" s="45">
        <f t="shared" ref="C89:U89" si="45">(C86-$B$87)/$B$87</f>
        <v>1.1762015066329002E-2</v>
      </c>
      <c r="D89" s="45"/>
      <c r="E89" s="45"/>
      <c r="F89" s="45"/>
      <c r="G89" s="45"/>
      <c r="H89" s="45"/>
      <c r="I89" s="45"/>
      <c r="J89" s="45"/>
      <c r="K89" s="45"/>
      <c r="L89" s="45"/>
      <c r="M89" s="45"/>
      <c r="N89" s="45"/>
      <c r="O89" s="45"/>
      <c r="P89" s="45"/>
      <c r="Q89" s="45"/>
      <c r="R89" s="45"/>
      <c r="S89" s="45">
        <f t="shared" si="45"/>
        <v>0.23162091829784026</v>
      </c>
      <c r="T89" s="46">
        <f t="shared" si="45"/>
        <v>0.32447693754608126</v>
      </c>
      <c r="U89" s="46">
        <f t="shared" si="45"/>
        <v>0.49716602525719322</v>
      </c>
      <c r="V89" s="34"/>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row>
    <row r="90" spans="1:48" outlineLevel="1" x14ac:dyDescent="0.35">
      <c r="A90" s="44" t="s">
        <v>25</v>
      </c>
      <c r="B90" s="31"/>
      <c r="C90" s="46">
        <f t="shared" ref="C90" si="46">(C86/$B$87)^(1/C93)-1</f>
        <v>5.8483996385128023E-4</v>
      </c>
      <c r="D90" s="46"/>
      <c r="E90" s="46"/>
      <c r="F90" s="46"/>
      <c r="G90" s="46"/>
      <c r="H90" s="46"/>
      <c r="I90" s="46"/>
      <c r="J90" s="46"/>
      <c r="K90" s="46"/>
      <c r="L90" s="46"/>
      <c r="M90" s="46"/>
      <c r="N90" s="46"/>
      <c r="O90" s="46"/>
      <c r="P90" s="46"/>
      <c r="Q90" s="46"/>
      <c r="R90" s="46"/>
      <c r="S90" s="46">
        <f>(S86/$B$87)^(1/S93)-1</f>
        <v>9.9699011816551941E-3</v>
      </c>
      <c r="T90" s="46">
        <f>(T86/$B$87)^(1/T93)-1</f>
        <v>1.2855458045742063E-2</v>
      </c>
      <c r="U90" s="46">
        <f>(U86/$B$87)^(1/U93)-1</f>
        <v>1.7701543482209647E-2</v>
      </c>
      <c r="V90" s="34"/>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row>
    <row r="91" spans="1:48" outlineLevel="1" x14ac:dyDescent="0.35">
      <c r="A91" s="47" t="s">
        <v>26</v>
      </c>
      <c r="B91" s="48"/>
      <c r="C91" s="49"/>
      <c r="D91" s="49"/>
      <c r="E91" s="49"/>
      <c r="F91" s="49"/>
      <c r="G91" s="49"/>
      <c r="H91" s="49"/>
      <c r="I91" s="49"/>
      <c r="J91" s="49"/>
      <c r="K91" s="49"/>
      <c r="L91" s="49"/>
      <c r="M91" s="49"/>
      <c r="N91" s="49"/>
      <c r="O91" s="49"/>
      <c r="P91" s="49"/>
      <c r="Q91" s="49"/>
      <c r="R91" s="49"/>
      <c r="S91" s="49"/>
      <c r="T91" s="50"/>
      <c r="U91" s="50"/>
      <c r="V91" s="62">
        <f>SUM(C91:U91)</f>
        <v>0</v>
      </c>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row>
    <row r="92" spans="1:48" x14ac:dyDescent="0.35">
      <c r="A92" s="36"/>
      <c r="B92" s="31"/>
      <c r="C92" s="33"/>
      <c r="D92" s="33"/>
      <c r="E92" s="33"/>
      <c r="F92" s="33"/>
      <c r="G92" s="33"/>
      <c r="H92" s="33"/>
      <c r="I92" s="33"/>
      <c r="J92" s="33"/>
      <c r="K92" s="33"/>
      <c r="L92" s="33"/>
      <c r="M92" s="33"/>
      <c r="N92" s="33"/>
      <c r="O92" s="33"/>
      <c r="P92" s="33"/>
      <c r="Q92" s="33"/>
      <c r="R92" s="33"/>
      <c r="S92" s="33"/>
      <c r="T92" s="33"/>
      <c r="U92" s="33"/>
      <c r="V92" s="53"/>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row>
    <row r="93" spans="1:48" x14ac:dyDescent="0.35">
      <c r="A93" s="36" t="s">
        <v>27</v>
      </c>
      <c r="B93" s="31"/>
      <c r="C93" s="54">
        <f>S93-1</f>
        <v>20</v>
      </c>
      <c r="D93" s="54"/>
      <c r="E93" s="54"/>
      <c r="F93" s="54"/>
      <c r="G93" s="54"/>
      <c r="H93" s="54"/>
      <c r="I93" s="54"/>
      <c r="J93" s="54"/>
      <c r="K93" s="54"/>
      <c r="L93" s="54"/>
      <c r="M93" s="54"/>
      <c r="N93" s="54"/>
      <c r="O93" s="54"/>
      <c r="P93" s="54"/>
      <c r="Q93" s="54"/>
      <c r="R93" s="54"/>
      <c r="S93" s="54">
        <f>T93-1</f>
        <v>21</v>
      </c>
      <c r="T93" s="54">
        <f>2019-1997</f>
        <v>22</v>
      </c>
      <c r="U93" s="54">
        <f>2020-1997</f>
        <v>23</v>
      </c>
      <c r="V93" s="53">
        <f>SUM(C93:U93)</f>
        <v>86</v>
      </c>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row>
    <row r="94" spans="1:48" x14ac:dyDescent="0.35">
      <c r="A94" s="55"/>
      <c r="B94" s="56"/>
      <c r="C94" s="57"/>
      <c r="D94" s="57"/>
      <c r="E94" s="57"/>
      <c r="F94" s="57"/>
      <c r="G94" s="57"/>
      <c r="H94" s="57"/>
      <c r="I94" s="57"/>
      <c r="J94" s="57"/>
      <c r="K94" s="57"/>
      <c r="L94" s="57"/>
      <c r="M94" s="57"/>
      <c r="N94" s="57"/>
      <c r="O94" s="57"/>
      <c r="P94" s="57"/>
      <c r="Q94" s="57"/>
      <c r="R94" s="57"/>
      <c r="S94" s="57"/>
      <c r="T94" s="57"/>
      <c r="U94" s="57"/>
      <c r="V94" s="58"/>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row>
    <row r="95" spans="1:48" x14ac:dyDescent="0.35">
      <c r="A95" s="30" t="s">
        <v>28</v>
      </c>
      <c r="B95" s="31"/>
      <c r="C95" s="33"/>
      <c r="D95" s="33"/>
      <c r="E95" s="33"/>
      <c r="F95" s="33"/>
      <c r="G95" s="33"/>
      <c r="H95" s="33"/>
      <c r="I95" s="33"/>
      <c r="J95" s="33"/>
      <c r="K95" s="33"/>
      <c r="L95" s="33"/>
      <c r="M95" s="33"/>
      <c r="N95" s="33"/>
      <c r="O95" s="33"/>
      <c r="P95" s="33"/>
      <c r="Q95" s="33"/>
      <c r="R95" s="33"/>
      <c r="S95" s="33"/>
      <c r="T95" s="33"/>
      <c r="U95" s="33"/>
      <c r="V95" s="34"/>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row>
    <row r="96" spans="1:48" outlineLevel="1" x14ac:dyDescent="0.35">
      <c r="A96" s="37" t="s">
        <v>29</v>
      </c>
      <c r="B96" s="38"/>
      <c r="C96" s="39"/>
      <c r="D96" s="39"/>
      <c r="E96" s="39"/>
      <c r="F96" s="39"/>
      <c r="G96" s="39"/>
      <c r="H96" s="39"/>
      <c r="I96" s="39"/>
      <c r="J96" s="39"/>
      <c r="K96" s="39"/>
      <c r="L96" s="39"/>
      <c r="M96" s="39"/>
      <c r="N96" s="39"/>
      <c r="O96" s="39"/>
      <c r="P96" s="39"/>
      <c r="Q96" s="39"/>
      <c r="R96" s="39"/>
      <c r="S96" s="39"/>
      <c r="T96" s="39"/>
      <c r="U96" s="39"/>
      <c r="V96" s="40"/>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row>
    <row r="97" spans="1:48" outlineLevel="1" x14ac:dyDescent="0.35">
      <c r="A97" s="42" t="s">
        <v>30</v>
      </c>
      <c r="B97" s="31"/>
      <c r="C97" s="59">
        <f>C35</f>
        <v>161385.990816</v>
      </c>
      <c r="D97" s="59"/>
      <c r="E97" s="59"/>
      <c r="F97" s="59"/>
      <c r="G97" s="59"/>
      <c r="H97" s="59"/>
      <c r="I97" s="59"/>
      <c r="J97" s="59"/>
      <c r="K97" s="59"/>
      <c r="L97" s="59"/>
      <c r="M97" s="59"/>
      <c r="N97" s="59"/>
      <c r="O97" s="59"/>
      <c r="P97" s="59"/>
      <c r="Q97" s="59"/>
      <c r="R97" s="59"/>
      <c r="S97" s="59">
        <f>S35</f>
        <v>349666.25181000005</v>
      </c>
      <c r="T97" s="59">
        <f>T35</f>
        <v>349666.25181000005</v>
      </c>
      <c r="U97" s="59">
        <f>U35</f>
        <v>349666.25181000005</v>
      </c>
      <c r="V97" s="34"/>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row>
    <row r="98" spans="1:48" outlineLevel="1" x14ac:dyDescent="0.35">
      <c r="A98" s="42" t="s">
        <v>31</v>
      </c>
      <c r="B98" s="31"/>
      <c r="C98" s="60" t="e">
        <f>((C19+C21)*(C26+C28+C27))+((C20)*(#REF!+#REF!+#REF!))</f>
        <v>#REF!</v>
      </c>
      <c r="D98" s="60"/>
      <c r="E98" s="60"/>
      <c r="F98" s="60"/>
      <c r="G98" s="60"/>
      <c r="H98" s="60"/>
      <c r="I98" s="60"/>
      <c r="J98" s="60"/>
      <c r="K98" s="60"/>
      <c r="L98" s="60"/>
      <c r="M98" s="60"/>
      <c r="N98" s="60"/>
      <c r="O98" s="60"/>
      <c r="P98" s="60"/>
      <c r="Q98" s="60"/>
      <c r="R98" s="60"/>
      <c r="S98" s="60">
        <f>((S19+S21)*(S26+S28+S27))+((S20)*(C26+C28+C27))</f>
        <v>0</v>
      </c>
      <c r="T98" s="60">
        <f>((T19+T21)*(T26+T28+T27))+((T20)*(S26+S28+S27))</f>
        <v>0</v>
      </c>
      <c r="U98" s="60">
        <f>((U19+U21)*(U26+U28+U27))+((U20)*(T26+T28+T27))</f>
        <v>0</v>
      </c>
      <c r="V98" s="34"/>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row>
    <row r="99" spans="1:48" outlineLevel="1" x14ac:dyDescent="0.35">
      <c r="A99" s="42" t="s">
        <v>32</v>
      </c>
      <c r="B99" s="31"/>
      <c r="C99" s="33">
        <f>SUM($C$35:C35)</f>
        <v>161385.990816</v>
      </c>
      <c r="D99" s="33"/>
      <c r="E99" s="33"/>
      <c r="F99" s="33"/>
      <c r="G99" s="33"/>
      <c r="H99" s="33"/>
      <c r="I99" s="33"/>
      <c r="J99" s="33"/>
      <c r="K99" s="33"/>
      <c r="L99" s="33"/>
      <c r="M99" s="33"/>
      <c r="N99" s="33"/>
      <c r="O99" s="33"/>
      <c r="P99" s="33"/>
      <c r="Q99" s="33"/>
      <c r="R99" s="33"/>
      <c r="S99" s="60">
        <f>SUM($C$35:S35)</f>
        <v>5453181.0197760025</v>
      </c>
      <c r="T99" s="98">
        <f>SUM($C$35:T35)</f>
        <v>5802847.2715860028</v>
      </c>
      <c r="U99" s="98">
        <f>SUM($C$35:U35)</f>
        <v>6152513.5233960031</v>
      </c>
      <c r="V99" s="34"/>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row>
    <row r="100" spans="1:48" outlineLevel="1" x14ac:dyDescent="0.35">
      <c r="A100" s="42" t="s">
        <v>33</v>
      </c>
      <c r="B100" s="31"/>
      <c r="C100" s="33" t="e">
        <f>SUM($C$98:C98)</f>
        <v>#REF!</v>
      </c>
      <c r="D100" s="33"/>
      <c r="E100" s="33"/>
      <c r="F100" s="33"/>
      <c r="G100" s="33"/>
      <c r="H100" s="33"/>
      <c r="I100" s="33"/>
      <c r="J100" s="33"/>
      <c r="K100" s="33"/>
      <c r="L100" s="33"/>
      <c r="M100" s="33"/>
      <c r="N100" s="33"/>
      <c r="O100" s="33"/>
      <c r="P100" s="33"/>
      <c r="Q100" s="33"/>
      <c r="R100" s="33"/>
      <c r="S100" s="60" t="e">
        <f>SUM($C$98:S98)</f>
        <v>#REF!</v>
      </c>
      <c r="T100" s="98" t="e">
        <f>SUM($C$98:T98)</f>
        <v>#REF!</v>
      </c>
      <c r="U100" s="98" t="e">
        <f>SUM($C$98:U98)</f>
        <v>#REF!</v>
      </c>
      <c r="V100" s="34"/>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row>
    <row r="101" spans="1:48" outlineLevel="1" x14ac:dyDescent="0.35">
      <c r="A101" s="44" t="s">
        <v>34</v>
      </c>
      <c r="B101" s="31"/>
      <c r="C101" s="45" t="e">
        <f t="shared" ref="C101:S101" si="47">C97/C98</f>
        <v>#REF!</v>
      </c>
      <c r="D101" s="45"/>
      <c r="E101" s="45"/>
      <c r="F101" s="45"/>
      <c r="G101" s="45"/>
      <c r="H101" s="45"/>
      <c r="I101" s="45"/>
      <c r="J101" s="45"/>
      <c r="K101" s="45"/>
      <c r="L101" s="45"/>
      <c r="M101" s="45"/>
      <c r="N101" s="45"/>
      <c r="O101" s="45"/>
      <c r="P101" s="45"/>
      <c r="Q101" s="45"/>
      <c r="R101" s="45"/>
      <c r="S101" s="45" t="e">
        <f t="shared" si="47"/>
        <v>#DIV/0!</v>
      </c>
      <c r="T101" s="45" t="e">
        <f>T97/T98</f>
        <v>#DIV/0!</v>
      </c>
      <c r="U101" s="45" t="e">
        <f>U97/U98</f>
        <v>#DIV/0!</v>
      </c>
      <c r="V101" s="34"/>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row>
    <row r="102" spans="1:48" outlineLevel="1" x14ac:dyDescent="0.35">
      <c r="A102" s="44" t="s">
        <v>35</v>
      </c>
      <c r="B102" s="31"/>
      <c r="C102" s="45" t="e">
        <f t="shared" ref="C102:S102" si="48">C99/C100</f>
        <v>#REF!</v>
      </c>
      <c r="D102" s="45"/>
      <c r="E102" s="45"/>
      <c r="F102" s="45"/>
      <c r="G102" s="45"/>
      <c r="H102" s="45"/>
      <c r="I102" s="45"/>
      <c r="J102" s="45"/>
      <c r="K102" s="45"/>
      <c r="L102" s="45"/>
      <c r="M102" s="45"/>
      <c r="N102" s="45"/>
      <c r="O102" s="45"/>
      <c r="P102" s="45"/>
      <c r="Q102" s="45"/>
      <c r="R102" s="45"/>
      <c r="S102" s="45" t="e">
        <f t="shared" si="48"/>
        <v>#REF!</v>
      </c>
      <c r="T102" s="108" t="e">
        <f>T99/T100</f>
        <v>#REF!</v>
      </c>
      <c r="U102" s="108" t="e">
        <f>U99/U100</f>
        <v>#REF!</v>
      </c>
      <c r="V102" s="34"/>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row>
    <row r="103" spans="1:48" outlineLevel="1" x14ac:dyDescent="0.35">
      <c r="A103" s="44"/>
      <c r="B103" s="31"/>
      <c r="C103" s="45"/>
      <c r="D103" s="45"/>
      <c r="E103" s="45"/>
      <c r="F103" s="45"/>
      <c r="G103" s="45"/>
      <c r="H103" s="45"/>
      <c r="I103" s="45"/>
      <c r="J103" s="45"/>
      <c r="K103" s="45"/>
      <c r="L103" s="45"/>
      <c r="M103" s="45"/>
      <c r="N103" s="45"/>
      <c r="O103" s="45"/>
      <c r="P103" s="45"/>
      <c r="Q103" s="45"/>
      <c r="R103" s="45"/>
      <c r="S103" s="45"/>
      <c r="T103" s="33"/>
      <c r="U103" s="33"/>
      <c r="V103" s="34"/>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row>
    <row r="104" spans="1:48" outlineLevel="1" x14ac:dyDescent="0.35">
      <c r="A104" s="36" t="s">
        <v>36</v>
      </c>
      <c r="B104" s="31"/>
      <c r="C104" s="45"/>
      <c r="D104" s="45"/>
      <c r="E104" s="45"/>
      <c r="F104" s="45"/>
      <c r="G104" s="45"/>
      <c r="H104" s="45"/>
      <c r="I104" s="45"/>
      <c r="J104" s="45"/>
      <c r="K104" s="45"/>
      <c r="L104" s="45"/>
      <c r="M104" s="45"/>
      <c r="N104" s="45"/>
      <c r="O104" s="45"/>
      <c r="P104" s="45"/>
      <c r="Q104" s="45"/>
      <c r="R104" s="45"/>
      <c r="S104" s="45"/>
      <c r="T104" s="33"/>
      <c r="U104" s="33"/>
      <c r="V104" s="34"/>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row>
    <row r="105" spans="1:48" outlineLevel="1" x14ac:dyDescent="0.35">
      <c r="A105" s="42" t="s">
        <v>30</v>
      </c>
      <c r="B105" s="31"/>
      <c r="C105" s="43">
        <f>C35-C46</f>
        <v>68651.954136000015</v>
      </c>
      <c r="D105" s="43"/>
      <c r="E105" s="43"/>
      <c r="F105" s="43"/>
      <c r="G105" s="43"/>
      <c r="H105" s="43"/>
      <c r="I105" s="43"/>
      <c r="J105" s="43"/>
      <c r="K105" s="43"/>
      <c r="L105" s="43"/>
      <c r="M105" s="43"/>
      <c r="N105" s="43"/>
      <c r="O105" s="43"/>
      <c r="P105" s="43"/>
      <c r="Q105" s="43"/>
      <c r="R105" s="43"/>
      <c r="S105" s="59">
        <f>S35-S46</f>
        <v>146204.86178400007</v>
      </c>
      <c r="T105" s="59">
        <f>T35-T46</f>
        <v>146204.86178400007</v>
      </c>
      <c r="U105" s="59">
        <f>U35-U46</f>
        <v>146204.86178400007</v>
      </c>
      <c r="V105" s="34"/>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row>
    <row r="106" spans="1:48" outlineLevel="1" x14ac:dyDescent="0.35">
      <c r="A106" s="42" t="s">
        <v>31</v>
      </c>
      <c r="B106" s="31"/>
      <c r="C106" s="33" t="e">
        <f t="shared" ref="C106:U106" si="49">C98</f>
        <v>#REF!</v>
      </c>
      <c r="D106" s="33"/>
      <c r="E106" s="33"/>
      <c r="F106" s="33"/>
      <c r="G106" s="33"/>
      <c r="H106" s="33"/>
      <c r="I106" s="33"/>
      <c r="J106" s="33"/>
      <c r="K106" s="33"/>
      <c r="L106" s="33"/>
      <c r="M106" s="33"/>
      <c r="N106" s="33"/>
      <c r="O106" s="33"/>
      <c r="P106" s="33"/>
      <c r="Q106" s="33"/>
      <c r="R106" s="33"/>
      <c r="S106" s="60">
        <f t="shared" si="49"/>
        <v>0</v>
      </c>
      <c r="T106" s="60">
        <f t="shared" si="49"/>
        <v>0</v>
      </c>
      <c r="U106" s="60">
        <f t="shared" si="49"/>
        <v>0</v>
      </c>
      <c r="V106" s="34"/>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row>
    <row r="107" spans="1:48" outlineLevel="1" x14ac:dyDescent="0.35">
      <c r="A107" s="42" t="s">
        <v>32</v>
      </c>
      <c r="B107" s="31"/>
      <c r="C107" s="33">
        <f>SUM($C$64:C66)</f>
        <v>68651.954136</v>
      </c>
      <c r="D107" s="33"/>
      <c r="E107" s="33"/>
      <c r="F107" s="33"/>
      <c r="G107" s="33"/>
      <c r="H107" s="33"/>
      <c r="I107" s="33"/>
      <c r="J107" s="33"/>
      <c r="K107" s="33"/>
      <c r="L107" s="33"/>
      <c r="M107" s="33"/>
      <c r="N107" s="33"/>
      <c r="O107" s="33"/>
      <c r="P107" s="33"/>
      <c r="Q107" s="33"/>
      <c r="R107" s="33"/>
      <c r="S107" s="60">
        <f>SUM($C$64:S66)</f>
        <v>2281293.7426799987</v>
      </c>
      <c r="T107" s="98">
        <f>SUM($C$64:T66)</f>
        <v>2427498.6044639973</v>
      </c>
      <c r="U107" s="98">
        <f>SUM($C$64:U66)</f>
        <v>2573703.4662479972</v>
      </c>
      <c r="V107" s="34"/>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row>
    <row r="108" spans="1:48" outlineLevel="1" x14ac:dyDescent="0.35">
      <c r="A108" s="42" t="s">
        <v>33</v>
      </c>
      <c r="B108" s="31"/>
      <c r="C108" s="33" t="e">
        <f t="shared" ref="C108:U108" si="50">C100</f>
        <v>#REF!</v>
      </c>
      <c r="D108" s="33"/>
      <c r="E108" s="33"/>
      <c r="F108" s="33"/>
      <c r="G108" s="33"/>
      <c r="H108" s="33"/>
      <c r="I108" s="33"/>
      <c r="J108" s="33"/>
      <c r="K108" s="33"/>
      <c r="L108" s="33"/>
      <c r="M108" s="33"/>
      <c r="N108" s="33"/>
      <c r="O108" s="33"/>
      <c r="P108" s="33"/>
      <c r="Q108" s="33"/>
      <c r="R108" s="33"/>
      <c r="S108" s="60" t="e">
        <f t="shared" si="50"/>
        <v>#REF!</v>
      </c>
      <c r="T108" s="98" t="e">
        <f t="shared" si="50"/>
        <v>#REF!</v>
      </c>
      <c r="U108" s="98" t="e">
        <f t="shared" si="50"/>
        <v>#REF!</v>
      </c>
      <c r="V108" s="34"/>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row>
    <row r="109" spans="1:48" outlineLevel="1" x14ac:dyDescent="0.35">
      <c r="A109" s="44" t="s">
        <v>34</v>
      </c>
      <c r="B109" s="31"/>
      <c r="C109" s="45" t="e">
        <f t="shared" ref="C109:S109" si="51">(C105-C106)/C106</f>
        <v>#REF!</v>
      </c>
      <c r="D109" s="45"/>
      <c r="E109" s="45"/>
      <c r="F109" s="45"/>
      <c r="G109" s="45"/>
      <c r="H109" s="45"/>
      <c r="I109" s="45"/>
      <c r="J109" s="45"/>
      <c r="K109" s="45"/>
      <c r="L109" s="45"/>
      <c r="M109" s="45"/>
      <c r="N109" s="45"/>
      <c r="O109" s="45"/>
      <c r="P109" s="45"/>
      <c r="Q109" s="45"/>
      <c r="R109" s="45"/>
      <c r="S109" s="61" t="e">
        <f t="shared" si="51"/>
        <v>#DIV/0!</v>
      </c>
      <c r="T109" s="61" t="e">
        <f>(T105-T106)/T106</f>
        <v>#DIV/0!</v>
      </c>
      <c r="U109" s="61" t="e">
        <f>(U105-U106)/U106</f>
        <v>#DIV/0!</v>
      </c>
      <c r="V109" s="34"/>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row>
    <row r="110" spans="1:48" x14ac:dyDescent="0.35">
      <c r="A110" s="47" t="s">
        <v>35</v>
      </c>
      <c r="B110" s="48"/>
      <c r="C110" s="49" t="e">
        <f t="shared" ref="C110:S110" si="52">(C107-C108)/C108</f>
        <v>#REF!</v>
      </c>
      <c r="D110" s="49"/>
      <c r="E110" s="49"/>
      <c r="F110" s="49"/>
      <c r="G110" s="49"/>
      <c r="H110" s="49"/>
      <c r="I110" s="49"/>
      <c r="J110" s="49"/>
      <c r="K110" s="49"/>
      <c r="L110" s="49"/>
      <c r="M110" s="49"/>
      <c r="N110" s="49"/>
      <c r="O110" s="49"/>
      <c r="P110" s="49"/>
      <c r="Q110" s="49"/>
      <c r="R110" s="49"/>
      <c r="S110" s="62" t="e">
        <f t="shared" si="52"/>
        <v>#REF!</v>
      </c>
      <c r="T110" s="109" t="e">
        <f>(T107-T108)/T108</f>
        <v>#REF!</v>
      </c>
      <c r="U110" s="109" t="e">
        <f>(U107-U108)/U108</f>
        <v>#REF!</v>
      </c>
      <c r="V110" s="51"/>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row>
    <row r="111" spans="1:48" x14ac:dyDescent="0.35">
      <c r="A111" s="36"/>
      <c r="B111" s="31"/>
      <c r="C111" s="33"/>
      <c r="D111" s="33"/>
      <c r="E111" s="33"/>
      <c r="F111" s="33"/>
      <c r="G111" s="33"/>
      <c r="H111" s="33"/>
      <c r="I111" s="33"/>
      <c r="J111" s="33"/>
      <c r="K111" s="33"/>
      <c r="L111" s="33"/>
      <c r="M111" s="33"/>
      <c r="N111" s="33"/>
      <c r="O111" s="33"/>
      <c r="P111" s="33"/>
      <c r="Q111" s="33"/>
      <c r="R111" s="33"/>
      <c r="S111" s="33"/>
      <c r="T111" s="33"/>
      <c r="U111" s="33"/>
      <c r="V111" s="53"/>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row>
    <row r="112" spans="1:48" x14ac:dyDescent="0.35">
      <c r="A112" s="36"/>
      <c r="B112" s="31"/>
      <c r="C112" s="63"/>
      <c r="D112" s="63"/>
      <c r="E112" s="63"/>
      <c r="F112" s="63"/>
      <c r="G112" s="63"/>
      <c r="H112" s="63"/>
      <c r="I112" s="63"/>
      <c r="J112" s="63"/>
      <c r="K112" s="63"/>
      <c r="L112" s="63"/>
      <c r="M112" s="63"/>
      <c r="N112" s="63"/>
      <c r="O112" s="63"/>
      <c r="P112" s="63"/>
      <c r="Q112" s="63"/>
      <c r="R112" s="63"/>
      <c r="S112" s="63"/>
      <c r="T112" s="31"/>
      <c r="U112" s="31"/>
      <c r="V112" s="53"/>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row>
    <row r="113" spans="1:48" x14ac:dyDescent="0.35">
      <c r="A113" s="28"/>
      <c r="B113" s="3"/>
      <c r="C113" s="3"/>
      <c r="D113" s="3"/>
      <c r="E113" s="3"/>
      <c r="F113" s="3"/>
      <c r="G113" s="3"/>
      <c r="H113" s="3"/>
      <c r="I113" s="3"/>
      <c r="J113" s="3"/>
      <c r="K113" s="3"/>
      <c r="L113" s="3"/>
      <c r="M113" s="3"/>
      <c r="N113" s="3"/>
      <c r="O113" s="3"/>
      <c r="P113" s="3"/>
      <c r="Q113" s="3"/>
      <c r="R113" s="3"/>
      <c r="S113" s="3"/>
      <c r="T113" s="3"/>
      <c r="U113" s="3"/>
      <c r="V113" s="3"/>
      <c r="W113" s="29"/>
      <c r="X113" s="3"/>
      <c r="Y113" s="3"/>
      <c r="Z113" s="3"/>
      <c r="AA113" s="3"/>
      <c r="AB113" s="3"/>
      <c r="AC113" s="2"/>
      <c r="AD113" s="2"/>
      <c r="AE113" s="2"/>
      <c r="AF113" s="2"/>
      <c r="AG113" s="2"/>
      <c r="AH113" s="2"/>
      <c r="AI113" s="2"/>
      <c r="AJ113" s="2"/>
      <c r="AK113" s="2"/>
      <c r="AL113" s="2"/>
      <c r="AM113" s="2"/>
      <c r="AN113" s="2"/>
      <c r="AO113" s="2"/>
      <c r="AP113" s="2"/>
      <c r="AQ113" s="2"/>
      <c r="AR113" s="2"/>
      <c r="AS113" s="2"/>
      <c r="AT113" s="2"/>
      <c r="AU113" s="2"/>
      <c r="AV113" s="2"/>
    </row>
    <row r="114" spans="1:48" x14ac:dyDescent="0.35">
      <c r="A114" s="28"/>
      <c r="B114" s="3"/>
      <c r="C114" s="3"/>
      <c r="D114" s="3"/>
      <c r="E114" s="3"/>
      <c r="F114" s="3"/>
      <c r="G114" s="3"/>
      <c r="H114" s="3"/>
      <c r="I114" s="3"/>
      <c r="J114" s="3"/>
      <c r="K114" s="3"/>
      <c r="L114" s="3"/>
      <c r="M114" s="3"/>
      <c r="N114" s="3"/>
      <c r="O114" s="3"/>
      <c r="P114" s="3"/>
      <c r="Q114" s="3"/>
      <c r="R114" s="3"/>
      <c r="S114" s="3"/>
      <c r="T114" s="3"/>
      <c r="U114" s="3"/>
      <c r="V114" s="3"/>
      <c r="W114" s="29"/>
      <c r="X114" s="3"/>
      <c r="Y114" s="3"/>
      <c r="Z114" s="3"/>
      <c r="AA114" s="3"/>
      <c r="AB114" s="3"/>
      <c r="AC114" s="2"/>
      <c r="AD114" s="2"/>
      <c r="AE114" s="2"/>
      <c r="AF114" s="2"/>
      <c r="AG114" s="2"/>
      <c r="AH114" s="2"/>
      <c r="AI114" s="2"/>
      <c r="AJ114" s="2"/>
      <c r="AK114" s="2"/>
      <c r="AL114" s="2"/>
      <c r="AM114" s="2"/>
      <c r="AN114" s="2"/>
      <c r="AO114" s="2"/>
      <c r="AP114" s="2"/>
      <c r="AQ114" s="2"/>
      <c r="AR114" s="2"/>
      <c r="AS114" s="2"/>
      <c r="AT114" s="2"/>
      <c r="AU114" s="2"/>
      <c r="AV114" s="2"/>
    </row>
    <row r="115" spans="1:48" x14ac:dyDescent="0.35">
      <c r="A115" s="28"/>
      <c r="B115" s="3"/>
      <c r="C115" s="3"/>
      <c r="D115" s="3"/>
      <c r="E115" s="3"/>
      <c r="F115" s="3"/>
      <c r="G115" s="3"/>
      <c r="H115" s="3"/>
      <c r="I115" s="3"/>
      <c r="J115" s="3"/>
      <c r="K115" s="3"/>
      <c r="L115" s="3"/>
      <c r="M115" s="3"/>
      <c r="N115" s="3"/>
      <c r="O115" s="3"/>
      <c r="P115" s="3"/>
      <c r="Q115" s="3"/>
      <c r="R115" s="3"/>
      <c r="S115" s="3"/>
      <c r="T115" s="3"/>
      <c r="U115" s="3"/>
      <c r="V115" s="3"/>
      <c r="W115" s="29"/>
      <c r="X115" s="3"/>
      <c r="Y115" s="3"/>
      <c r="Z115" s="3"/>
      <c r="AA115" s="3"/>
      <c r="AB115" s="3"/>
      <c r="AC115" s="2"/>
      <c r="AD115" s="2"/>
      <c r="AE115" s="2"/>
      <c r="AF115" s="2"/>
      <c r="AG115" s="2"/>
      <c r="AH115" s="2"/>
      <c r="AI115" s="2"/>
      <c r="AJ115" s="2"/>
      <c r="AK115" s="2"/>
      <c r="AL115" s="2"/>
      <c r="AM115" s="2"/>
      <c r="AN115" s="2"/>
      <c r="AO115" s="2"/>
      <c r="AP115" s="2"/>
      <c r="AQ115" s="2"/>
      <c r="AR115" s="2"/>
      <c r="AS115" s="2"/>
      <c r="AT115" s="2"/>
      <c r="AU115" s="2"/>
      <c r="AV115" s="2"/>
    </row>
    <row r="116" spans="1:48" x14ac:dyDescent="0.35">
      <c r="A116" s="28"/>
      <c r="B116" s="3"/>
      <c r="C116" s="3"/>
      <c r="D116" s="3"/>
      <c r="E116" s="3"/>
      <c r="F116" s="3"/>
      <c r="G116" s="3"/>
      <c r="H116" s="3"/>
      <c r="I116" s="3"/>
      <c r="J116" s="3"/>
      <c r="K116" s="3"/>
      <c r="L116" s="3"/>
      <c r="M116" s="3"/>
      <c r="N116" s="3"/>
      <c r="O116" s="3"/>
      <c r="P116" s="3"/>
      <c r="Q116" s="3"/>
      <c r="R116" s="3"/>
      <c r="S116" s="3"/>
      <c r="T116" s="3"/>
      <c r="U116" s="3"/>
      <c r="V116" s="3"/>
      <c r="W116" s="29"/>
      <c r="X116" s="3"/>
      <c r="Y116" s="3"/>
      <c r="Z116" s="3"/>
      <c r="AA116" s="3"/>
      <c r="AB116" s="3"/>
      <c r="AC116" s="2"/>
      <c r="AD116" s="2"/>
      <c r="AE116" s="2"/>
      <c r="AF116" s="2"/>
      <c r="AG116" s="2"/>
      <c r="AH116" s="2"/>
      <c r="AI116" s="2"/>
      <c r="AJ116" s="2"/>
      <c r="AK116" s="2"/>
      <c r="AL116" s="2"/>
      <c r="AM116" s="2"/>
      <c r="AN116" s="2"/>
      <c r="AO116" s="2"/>
      <c r="AP116" s="2"/>
      <c r="AQ116" s="2"/>
      <c r="AR116" s="2"/>
      <c r="AS116" s="2"/>
      <c r="AT116" s="2"/>
      <c r="AU116" s="2"/>
      <c r="AV116" s="2"/>
    </row>
    <row r="117" spans="1:48" x14ac:dyDescent="0.35">
      <c r="A117" s="28"/>
      <c r="B117" s="3"/>
      <c r="C117" s="3"/>
      <c r="D117" s="3"/>
      <c r="E117" s="3"/>
      <c r="F117" s="3"/>
      <c r="G117" s="3"/>
      <c r="H117" s="3"/>
      <c r="I117" s="3"/>
      <c r="J117" s="3"/>
      <c r="K117" s="3"/>
      <c r="L117" s="3"/>
      <c r="M117" s="3"/>
      <c r="N117" s="3"/>
      <c r="O117" s="3"/>
      <c r="P117" s="3"/>
      <c r="Q117" s="3"/>
      <c r="R117" s="3"/>
      <c r="S117" s="3"/>
      <c r="T117" s="3"/>
      <c r="U117" s="3"/>
      <c r="V117" s="3"/>
      <c r="W117" s="29"/>
      <c r="X117" s="3"/>
      <c r="Y117" s="3"/>
      <c r="Z117" s="3"/>
      <c r="AA117" s="3"/>
      <c r="AB117" s="3"/>
      <c r="AC117" s="2"/>
      <c r="AD117" s="2"/>
      <c r="AE117" s="2"/>
      <c r="AF117" s="2"/>
      <c r="AG117" s="2"/>
      <c r="AH117" s="2"/>
      <c r="AI117" s="2"/>
      <c r="AJ117" s="2"/>
      <c r="AK117" s="2"/>
      <c r="AL117" s="2"/>
      <c r="AM117" s="2"/>
      <c r="AN117" s="2"/>
      <c r="AO117" s="2"/>
      <c r="AP117" s="2"/>
      <c r="AQ117" s="2"/>
      <c r="AR117" s="2"/>
      <c r="AS117" s="2"/>
      <c r="AT117" s="2"/>
      <c r="AU117" s="2"/>
      <c r="AV117" s="2"/>
    </row>
    <row r="118" spans="1:48" ht="18" customHeight="1" x14ac:dyDescent="0.35">
      <c r="A118" s="28"/>
      <c r="B118" s="3"/>
      <c r="C118" s="3"/>
      <c r="D118" s="3"/>
      <c r="E118" s="3"/>
      <c r="F118" s="3"/>
      <c r="G118" s="3">
        <f>I104857</f>
        <v>0</v>
      </c>
      <c r="H118" s="3"/>
      <c r="I118" s="3"/>
      <c r="J118" s="3"/>
      <c r="K118" s="3"/>
      <c r="L118" s="3"/>
      <c r="M118" s="3"/>
      <c r="N118" s="3"/>
      <c r="O118" s="3"/>
      <c r="P118" s="3"/>
      <c r="Q118" s="3"/>
      <c r="R118" s="3"/>
      <c r="S118" s="3"/>
      <c r="T118" s="3"/>
      <c r="U118" s="3"/>
      <c r="V118" s="3"/>
      <c r="W118" s="29"/>
      <c r="X118" s="3"/>
      <c r="Y118" s="3"/>
      <c r="Z118" s="3"/>
      <c r="AA118" s="3"/>
      <c r="AB118" s="3"/>
      <c r="AC118" s="2"/>
      <c r="AD118" s="2"/>
      <c r="AE118" s="2"/>
      <c r="AF118" s="2"/>
      <c r="AG118" s="2"/>
      <c r="AH118" s="2"/>
      <c r="AI118" s="2"/>
      <c r="AJ118" s="2"/>
      <c r="AK118" s="2"/>
      <c r="AL118" s="2"/>
      <c r="AM118" s="2"/>
      <c r="AN118" s="2"/>
      <c r="AO118" s="2"/>
      <c r="AP118" s="2"/>
      <c r="AQ118" s="2"/>
      <c r="AR118" s="2"/>
      <c r="AS118" s="2"/>
      <c r="AT118" s="2"/>
      <c r="AU118" s="2"/>
      <c r="AV118" s="2"/>
    </row>
    <row r="119" spans="1:48" x14ac:dyDescent="0.35">
      <c r="A119" s="28"/>
      <c r="B119" s="3"/>
      <c r="C119" s="3"/>
      <c r="D119" s="3"/>
      <c r="E119" s="3"/>
      <c r="F119" s="3"/>
      <c r="G119" s="3"/>
      <c r="H119" s="3"/>
      <c r="I119" s="3"/>
      <c r="J119" s="3"/>
      <c r="K119" s="3"/>
      <c r="L119" s="3"/>
      <c r="M119" s="3"/>
      <c r="N119" s="3"/>
      <c r="O119" s="3"/>
      <c r="P119" s="3"/>
      <c r="Q119" s="3"/>
      <c r="R119" s="3"/>
      <c r="S119" s="3"/>
      <c r="T119" s="3"/>
      <c r="U119" s="3"/>
      <c r="V119" s="3"/>
      <c r="W119" s="29"/>
      <c r="X119" s="3"/>
      <c r="Y119" s="3"/>
      <c r="Z119" s="3"/>
      <c r="AA119" s="3"/>
      <c r="AB119" s="3"/>
      <c r="AC119" s="2"/>
      <c r="AD119" s="2"/>
      <c r="AE119" s="2"/>
      <c r="AF119" s="2"/>
      <c r="AG119" s="2"/>
      <c r="AH119" s="2"/>
      <c r="AI119" s="2"/>
      <c r="AJ119" s="2"/>
      <c r="AK119" s="2"/>
      <c r="AL119" s="2"/>
      <c r="AM119" s="2"/>
      <c r="AN119" s="2"/>
      <c r="AO119" s="2"/>
      <c r="AP119" s="2"/>
      <c r="AQ119" s="2"/>
      <c r="AR119" s="2"/>
      <c r="AS119" s="2"/>
      <c r="AT119" s="2"/>
      <c r="AU119" s="2"/>
      <c r="AV119" s="2"/>
    </row>
    <row r="120" spans="1:48" x14ac:dyDescent="0.35">
      <c r="A120" s="3"/>
      <c r="B120" s="3"/>
      <c r="C120" s="29">
        <f>-C20*C29</f>
        <v>0</v>
      </c>
      <c r="D120" s="29"/>
      <c r="E120" s="29"/>
      <c r="F120" s="29"/>
      <c r="G120" s="29"/>
      <c r="H120" s="29"/>
      <c r="I120" s="29"/>
      <c r="J120" s="29"/>
      <c r="K120" s="29"/>
      <c r="L120" s="29"/>
      <c r="M120" s="29"/>
      <c r="N120" s="29"/>
      <c r="O120" s="29"/>
      <c r="P120" s="29"/>
      <c r="Q120" s="29"/>
      <c r="R120" s="29"/>
      <c r="S120" s="29">
        <f>-S20*S29</f>
        <v>0</v>
      </c>
      <c r="T120" s="29">
        <f>-T20*T29</f>
        <v>0</v>
      </c>
      <c r="U120" s="29">
        <f>-U20*U29</f>
        <v>0</v>
      </c>
      <c r="V120" s="3"/>
      <c r="W120" s="29">
        <f>SUM(C120:V120)</f>
        <v>0</v>
      </c>
      <c r="X120" s="3"/>
      <c r="Y120" s="3"/>
      <c r="Z120" s="3"/>
      <c r="AA120" s="3"/>
      <c r="AB120" s="3"/>
      <c r="AC120" s="2"/>
      <c r="AD120" s="2"/>
      <c r="AE120" s="2"/>
      <c r="AF120" s="2"/>
      <c r="AG120" s="2"/>
      <c r="AH120" s="2"/>
      <c r="AI120" s="2"/>
      <c r="AJ120" s="2"/>
      <c r="AK120" s="2"/>
      <c r="AL120" s="2"/>
      <c r="AM120" s="2"/>
      <c r="AN120" s="2"/>
      <c r="AO120" s="2"/>
      <c r="AP120" s="2"/>
      <c r="AQ120" s="2"/>
      <c r="AR120" s="2"/>
      <c r="AS120" s="2"/>
      <c r="AT120" s="2"/>
      <c r="AU120" s="2"/>
      <c r="AV120" s="2"/>
    </row>
    <row r="121" spans="1:48" x14ac:dyDescent="0.35">
      <c r="A121" s="3"/>
      <c r="B121" s="3"/>
      <c r="C121" s="29">
        <f>C35</f>
        <v>161385.990816</v>
      </c>
      <c r="D121" s="29"/>
      <c r="E121" s="29"/>
      <c r="F121" s="29"/>
      <c r="G121" s="29"/>
      <c r="H121" s="29"/>
      <c r="I121" s="29"/>
      <c r="J121" s="29"/>
      <c r="K121" s="29"/>
      <c r="L121" s="29"/>
      <c r="M121" s="29"/>
      <c r="N121" s="29"/>
      <c r="O121" s="29"/>
      <c r="P121" s="29"/>
      <c r="Q121" s="29"/>
      <c r="R121" s="29"/>
      <c r="S121" s="29">
        <f>S35</f>
        <v>349666.25181000005</v>
      </c>
      <c r="T121" s="29">
        <f>T35</f>
        <v>349666.25181000005</v>
      </c>
      <c r="U121" s="29">
        <f>U35</f>
        <v>349666.25181000005</v>
      </c>
      <c r="V121" s="3"/>
      <c r="W121" s="29">
        <f>SUM(C121:V121)</f>
        <v>1210384.7462460003</v>
      </c>
      <c r="X121" s="3"/>
      <c r="Y121" s="3"/>
      <c r="Z121" s="3"/>
      <c r="AA121" s="3"/>
      <c r="AB121" s="3"/>
      <c r="AC121" s="2"/>
      <c r="AD121" s="2"/>
      <c r="AE121" s="2"/>
      <c r="AF121" s="2"/>
      <c r="AG121" s="2"/>
      <c r="AH121" s="2"/>
      <c r="AI121" s="2"/>
      <c r="AJ121" s="2"/>
      <c r="AK121" s="2"/>
      <c r="AL121" s="2"/>
      <c r="AM121" s="2"/>
      <c r="AN121" s="2"/>
      <c r="AO121" s="2"/>
      <c r="AP121" s="2"/>
      <c r="AQ121" s="2"/>
      <c r="AR121" s="2"/>
      <c r="AS121" s="2"/>
      <c r="AT121" s="2"/>
      <c r="AU121" s="2"/>
      <c r="AV121" s="2"/>
    </row>
    <row r="122" spans="1:48" x14ac:dyDescent="0.35">
      <c r="A122" s="3"/>
      <c r="B122" s="3"/>
      <c r="C122" s="29">
        <f>C35-C46</f>
        <v>68651.954136000015</v>
      </c>
      <c r="D122" s="29"/>
      <c r="E122" s="29"/>
      <c r="F122" s="29"/>
      <c r="G122" s="29"/>
      <c r="H122" s="29"/>
      <c r="I122" s="29"/>
      <c r="J122" s="29"/>
      <c r="K122" s="29"/>
      <c r="L122" s="29"/>
      <c r="M122" s="29"/>
      <c r="N122" s="29"/>
      <c r="O122" s="29"/>
      <c r="P122" s="29"/>
      <c r="Q122" s="29"/>
      <c r="R122" s="29"/>
      <c r="S122" s="29">
        <f>S35-S46</f>
        <v>146204.86178400007</v>
      </c>
      <c r="T122" s="29">
        <f>T35-T46</f>
        <v>146204.86178400007</v>
      </c>
      <c r="U122" s="29">
        <f>U35-U46</f>
        <v>146204.86178400007</v>
      </c>
      <c r="V122" s="3"/>
      <c r="W122" s="29">
        <f>SUM(C122:V122)</f>
        <v>507266.53948800021</v>
      </c>
      <c r="X122" s="3"/>
      <c r="Y122" s="3"/>
      <c r="Z122" s="3"/>
      <c r="AA122" s="3"/>
      <c r="AB122" s="3"/>
      <c r="AC122" s="64"/>
      <c r="AD122" s="64"/>
      <c r="AE122" s="64"/>
      <c r="AF122" s="64"/>
      <c r="AG122" s="64"/>
      <c r="AH122" s="64"/>
      <c r="AI122" s="64"/>
      <c r="AJ122" s="64"/>
      <c r="AK122" s="64"/>
      <c r="AL122" s="64"/>
      <c r="AM122" s="64"/>
      <c r="AN122" s="64"/>
      <c r="AO122" s="64"/>
      <c r="AP122" s="64"/>
      <c r="AQ122" s="64"/>
      <c r="AR122" s="64"/>
      <c r="AS122" s="64"/>
      <c r="AT122" s="64"/>
      <c r="AU122" s="64"/>
      <c r="AV122" s="64"/>
    </row>
    <row r="123" spans="1:48" x14ac:dyDescent="0.35">
      <c r="A123" s="3"/>
      <c r="B123" s="3"/>
      <c r="C123" s="3"/>
      <c r="D123" s="3"/>
      <c r="E123" s="3"/>
      <c r="F123" s="3"/>
      <c r="G123" s="3"/>
      <c r="H123" s="3"/>
      <c r="I123" s="3"/>
      <c r="J123" s="3"/>
      <c r="K123" s="3"/>
      <c r="L123" s="3"/>
      <c r="M123" s="3"/>
      <c r="N123" s="3"/>
      <c r="O123" s="3"/>
      <c r="P123" s="3"/>
      <c r="Q123" s="3"/>
      <c r="R123" s="3"/>
      <c r="S123" s="3"/>
      <c r="T123" s="3"/>
      <c r="U123" s="3"/>
      <c r="V123" s="3"/>
      <c r="W123" s="65"/>
      <c r="X123" s="3"/>
      <c r="Y123" s="3"/>
      <c r="Z123" s="3"/>
      <c r="AA123" s="3"/>
      <c r="AB123" s="3"/>
      <c r="AC123" s="64"/>
      <c r="AD123" s="64"/>
      <c r="AE123" s="64"/>
      <c r="AF123" s="64"/>
      <c r="AG123" s="64"/>
      <c r="AH123" s="64"/>
      <c r="AI123" s="64"/>
      <c r="AJ123" s="64"/>
      <c r="AK123" s="64"/>
      <c r="AL123" s="64"/>
      <c r="AM123" s="64"/>
      <c r="AN123" s="64"/>
      <c r="AO123" s="64"/>
      <c r="AP123" s="64"/>
      <c r="AQ123" s="64"/>
      <c r="AR123" s="64"/>
      <c r="AS123" s="64"/>
      <c r="AT123" s="64"/>
      <c r="AU123" s="64"/>
      <c r="AV123" s="64"/>
    </row>
    <row r="124" spans="1:48" x14ac:dyDescent="0.35">
      <c r="A124" s="3"/>
      <c r="B124" s="3"/>
      <c r="C124" s="65" t="e">
        <f>(C121-C120)/C120</f>
        <v>#DIV/0!</v>
      </c>
      <c r="D124" s="65"/>
      <c r="E124" s="65"/>
      <c r="F124" s="65"/>
      <c r="G124" s="65"/>
      <c r="H124" s="65"/>
      <c r="I124" s="65"/>
      <c r="J124" s="65"/>
      <c r="K124" s="65"/>
      <c r="L124" s="65"/>
      <c r="M124" s="65"/>
      <c r="N124" s="65"/>
      <c r="O124" s="65"/>
      <c r="P124" s="65"/>
      <c r="Q124" s="65"/>
      <c r="R124" s="65"/>
      <c r="S124" s="65" t="e">
        <f t="shared" ref="S124:T124" si="53">(S121-S120)/S120</f>
        <v>#DIV/0!</v>
      </c>
      <c r="T124" s="65" t="e">
        <f t="shared" si="53"/>
        <v>#DIV/0!</v>
      </c>
      <c r="U124" s="65" t="e">
        <f t="shared" ref="U124" si="54">(U121-U120)/U120</f>
        <v>#DIV/0!</v>
      </c>
      <c r="V124" s="3"/>
      <c r="W124" s="65" t="e">
        <f>(W121-W120)/W120</f>
        <v>#DIV/0!</v>
      </c>
      <c r="X124" s="3"/>
      <c r="Y124" s="3"/>
      <c r="Z124" s="3"/>
      <c r="AA124" s="3"/>
      <c r="AB124" s="3"/>
      <c r="AC124" s="64"/>
      <c r="AD124" s="64"/>
      <c r="AE124" s="64"/>
      <c r="AF124" s="64"/>
      <c r="AG124" s="64"/>
      <c r="AH124" s="64"/>
      <c r="AI124" s="64"/>
      <c r="AJ124" s="64"/>
      <c r="AK124" s="64"/>
      <c r="AL124" s="64"/>
      <c r="AM124" s="64"/>
      <c r="AN124" s="64"/>
      <c r="AO124" s="64"/>
      <c r="AP124" s="64"/>
      <c r="AQ124" s="64"/>
      <c r="AR124" s="64"/>
      <c r="AS124" s="64"/>
      <c r="AT124" s="64"/>
      <c r="AU124" s="64"/>
      <c r="AV124" s="64"/>
    </row>
    <row r="125" spans="1:48" x14ac:dyDescent="0.35">
      <c r="A125" s="3"/>
      <c r="B125" s="3"/>
      <c r="C125" s="65" t="e">
        <f>(C122-C120)/C120</f>
        <v>#DIV/0!</v>
      </c>
      <c r="D125" s="65"/>
      <c r="E125" s="65"/>
      <c r="F125" s="65"/>
      <c r="G125" s="65"/>
      <c r="H125" s="65"/>
      <c r="I125" s="65"/>
      <c r="J125" s="65"/>
      <c r="K125" s="65"/>
      <c r="L125" s="65"/>
      <c r="M125" s="65"/>
      <c r="N125" s="65"/>
      <c r="O125" s="65"/>
      <c r="P125" s="65"/>
      <c r="Q125" s="65"/>
      <c r="R125" s="65"/>
      <c r="S125" s="65" t="e">
        <f t="shared" ref="S125:T125" si="55">(S122-S120)/S120</f>
        <v>#DIV/0!</v>
      </c>
      <c r="T125" s="65" t="e">
        <f t="shared" si="55"/>
        <v>#DIV/0!</v>
      </c>
      <c r="U125" s="65" t="e">
        <f t="shared" ref="U125" si="56">(U122-U120)/U120</f>
        <v>#DIV/0!</v>
      </c>
      <c r="V125" s="3"/>
      <c r="W125" s="65" t="e">
        <f>(W122-W120)/W120</f>
        <v>#DIV/0!</v>
      </c>
      <c r="X125" s="3"/>
      <c r="Y125" s="3"/>
      <c r="Z125" s="3"/>
      <c r="AA125" s="3"/>
      <c r="AB125" s="3"/>
      <c r="AC125" s="2"/>
      <c r="AD125" s="2"/>
      <c r="AE125" s="2"/>
      <c r="AF125" s="2"/>
      <c r="AG125" s="2"/>
      <c r="AH125" s="2"/>
      <c r="AI125" s="2"/>
      <c r="AJ125" s="2"/>
      <c r="AK125" s="2"/>
      <c r="AL125" s="2"/>
      <c r="AM125" s="2"/>
      <c r="AN125" s="2"/>
      <c r="AO125" s="2"/>
      <c r="AP125" s="2"/>
      <c r="AQ125" s="2"/>
      <c r="AR125" s="2"/>
      <c r="AS125" s="2"/>
      <c r="AT125" s="2"/>
      <c r="AU125" s="2"/>
      <c r="AV125" s="2"/>
    </row>
    <row r="126" spans="1:48" ht="15" thickBot="1" x14ac:dyDescent="0.4">
      <c r="A126" s="306" t="s">
        <v>37</v>
      </c>
      <c r="B126" s="306"/>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2"/>
      <c r="AD126" s="2"/>
      <c r="AE126" s="2"/>
      <c r="AF126" s="2"/>
      <c r="AG126" s="2"/>
      <c r="AH126" s="2"/>
      <c r="AI126" s="2"/>
      <c r="AJ126" s="2"/>
      <c r="AK126" s="2"/>
      <c r="AL126" s="2"/>
      <c r="AM126" s="2"/>
      <c r="AN126" s="2"/>
      <c r="AO126" s="2"/>
      <c r="AP126" s="2"/>
      <c r="AQ126" s="2"/>
      <c r="AR126" s="2"/>
      <c r="AS126" s="2"/>
      <c r="AT126" s="2"/>
      <c r="AU126" s="2"/>
      <c r="AV126" s="2"/>
    </row>
    <row r="127" spans="1:48" ht="18" thickBot="1" x14ac:dyDescent="0.4">
      <c r="A127" s="66" t="s">
        <v>38</v>
      </c>
      <c r="B127" s="210" t="s">
        <v>39</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2"/>
      <c r="AD127" s="2"/>
      <c r="AE127" s="2"/>
      <c r="AF127" s="2"/>
      <c r="AG127" s="2"/>
      <c r="AH127" s="2"/>
      <c r="AI127" s="2"/>
      <c r="AJ127" s="2"/>
      <c r="AK127" s="2"/>
      <c r="AL127" s="2"/>
      <c r="AM127" s="2"/>
      <c r="AN127" s="2"/>
      <c r="AO127" s="2"/>
      <c r="AP127" s="2"/>
      <c r="AQ127" s="2"/>
      <c r="AR127" s="2"/>
      <c r="AS127" s="2"/>
      <c r="AT127" s="2"/>
      <c r="AU127" s="2"/>
      <c r="AV127" s="2"/>
    </row>
    <row r="128" spans="1:48" ht="18.75" customHeight="1" thickBot="1" x14ac:dyDescent="0.4">
      <c r="A128" s="67" t="s">
        <v>40</v>
      </c>
      <c r="B128" s="68" t="s">
        <v>2</v>
      </c>
      <c r="C128" s="69"/>
      <c r="D128" s="69"/>
      <c r="E128" s="69"/>
      <c r="F128" s="69"/>
      <c r="G128" s="69"/>
      <c r="H128" s="69"/>
      <c r="I128" s="69"/>
      <c r="J128" s="69"/>
      <c r="K128" s="69"/>
      <c r="L128" s="69"/>
      <c r="M128" s="69"/>
      <c r="N128" s="69"/>
      <c r="O128" s="69"/>
      <c r="P128" s="69"/>
      <c r="Q128" s="69"/>
      <c r="R128" s="69"/>
      <c r="S128" s="69"/>
      <c r="T128" s="3"/>
      <c r="U128" s="3"/>
      <c r="V128" s="3"/>
      <c r="W128" s="3"/>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row>
    <row r="129" spans="1:48" ht="15" thickBot="1" x14ac:dyDescent="0.4">
      <c r="A129" s="70" t="s">
        <v>41</v>
      </c>
      <c r="B129" s="127">
        <v>8507895</v>
      </c>
      <c r="C129" s="69"/>
      <c r="D129" s="69"/>
      <c r="E129" s="69"/>
      <c r="F129" s="69"/>
      <c r="G129" s="69"/>
      <c r="H129" s="69"/>
      <c r="I129" s="69"/>
      <c r="J129" s="69"/>
      <c r="K129" s="69"/>
      <c r="L129" s="69"/>
      <c r="M129" s="69"/>
      <c r="N129" s="69"/>
      <c r="O129" s="69"/>
      <c r="P129" s="69"/>
      <c r="Q129" s="69"/>
      <c r="R129" s="69"/>
      <c r="S129" s="69"/>
      <c r="T129" s="69"/>
      <c r="U129" s="69"/>
      <c r="V129" s="3"/>
      <c r="W129" s="3"/>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row>
    <row r="130" spans="1:48" ht="15" thickBot="1" x14ac:dyDescent="0.4">
      <c r="A130" s="70" t="s">
        <v>42</v>
      </c>
      <c r="B130" s="128">
        <v>5312436</v>
      </c>
      <c r="C130" s="72"/>
      <c r="D130" s="72"/>
      <c r="E130" s="72"/>
      <c r="F130" s="72"/>
      <c r="G130" s="72"/>
      <c r="H130" s="72"/>
      <c r="I130" s="72"/>
      <c r="J130" s="72"/>
      <c r="K130" s="72"/>
      <c r="L130" s="72"/>
      <c r="M130" s="72"/>
      <c r="N130" s="72"/>
      <c r="O130" s="72"/>
      <c r="P130" s="72"/>
      <c r="Q130" s="72"/>
      <c r="R130" s="72"/>
      <c r="S130" s="72"/>
      <c r="T130" s="72"/>
      <c r="U130" s="72"/>
      <c r="V130" s="72"/>
      <c r="W130" s="7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row>
    <row r="131" spans="1:48" ht="15" thickBot="1" x14ac:dyDescent="0.4">
      <c r="A131" s="70" t="s">
        <v>43</v>
      </c>
      <c r="B131" s="128">
        <v>1013773</v>
      </c>
      <c r="X131" s="2"/>
      <c r="Y131" s="2"/>
      <c r="Z131" s="2"/>
      <c r="AA131" s="2"/>
      <c r="AB131" s="2"/>
      <c r="AC131" s="2"/>
      <c r="AD131" s="2"/>
      <c r="AE131" s="2"/>
      <c r="AF131" s="2"/>
      <c r="AG131" s="2"/>
      <c r="AH131" s="2"/>
      <c r="AI131" s="3"/>
      <c r="AJ131" s="3"/>
      <c r="AK131" s="3"/>
      <c r="AL131" s="3"/>
      <c r="AM131" s="3"/>
      <c r="AN131" s="3"/>
      <c r="AO131" s="3"/>
      <c r="AP131" s="3"/>
      <c r="AQ131" s="3"/>
      <c r="AR131" s="3"/>
      <c r="AS131" s="3"/>
      <c r="AT131" s="3"/>
      <c r="AU131" s="3"/>
      <c r="AV131" s="3"/>
    </row>
    <row r="132" spans="1:48" ht="15" thickBot="1" x14ac:dyDescent="0.4">
      <c r="A132" s="70" t="s">
        <v>44</v>
      </c>
      <c r="B132" s="128">
        <v>15080274</v>
      </c>
      <c r="X132" s="2"/>
      <c r="Y132" s="2"/>
      <c r="Z132" s="2"/>
      <c r="AA132" s="2"/>
      <c r="AB132" s="2"/>
      <c r="AC132" s="2"/>
      <c r="AD132" s="2"/>
      <c r="AE132" s="2"/>
      <c r="AF132" s="2"/>
      <c r="AG132" s="2"/>
      <c r="AH132" s="2"/>
      <c r="AI132" s="3"/>
      <c r="AJ132" s="3"/>
      <c r="AK132" s="3"/>
      <c r="AL132" s="3"/>
      <c r="AM132" s="3"/>
      <c r="AN132" s="3"/>
      <c r="AO132" s="3"/>
      <c r="AP132" s="3"/>
      <c r="AQ132" s="3"/>
      <c r="AR132" s="3"/>
      <c r="AS132" s="3"/>
      <c r="AT132" s="3"/>
      <c r="AU132" s="3"/>
      <c r="AV132" s="3"/>
    </row>
    <row r="133" spans="1:48" ht="15" thickBot="1" x14ac:dyDescent="0.4">
      <c r="A133" s="73" t="s">
        <v>45</v>
      </c>
      <c r="B133" s="129">
        <v>310886</v>
      </c>
      <c r="C133" s="69"/>
      <c r="D133" s="69"/>
      <c r="E133" s="69"/>
      <c r="F133" s="69"/>
      <c r="G133" s="69"/>
      <c r="H133" s="69"/>
      <c r="I133" s="69"/>
      <c r="J133" s="69"/>
      <c r="K133" s="69"/>
      <c r="L133" s="69"/>
      <c r="M133" s="69"/>
      <c r="N133" s="69"/>
      <c r="O133" s="69"/>
      <c r="P133" s="69"/>
      <c r="Q133" s="69"/>
      <c r="R133" s="69"/>
      <c r="S133" s="69"/>
      <c r="T133" s="69"/>
      <c r="U133" s="69"/>
      <c r="V133" s="69"/>
      <c r="W133" s="3"/>
      <c r="X133" s="2"/>
      <c r="Y133" s="2"/>
      <c r="Z133" s="2"/>
      <c r="AA133" s="2"/>
      <c r="AB133" s="2"/>
      <c r="AC133" s="2"/>
      <c r="AD133" s="2"/>
      <c r="AE133" s="2"/>
      <c r="AF133" s="2"/>
      <c r="AG133" s="2"/>
      <c r="AH133" s="2"/>
      <c r="AI133" s="3"/>
      <c r="AJ133" s="3"/>
      <c r="AK133" s="3"/>
      <c r="AL133" s="3"/>
      <c r="AM133" s="3"/>
      <c r="AN133" s="3"/>
      <c r="AO133" s="3"/>
      <c r="AP133" s="3"/>
      <c r="AQ133" s="3"/>
      <c r="AR133" s="3"/>
      <c r="AS133" s="3"/>
      <c r="AT133" s="3"/>
      <c r="AU133" s="3"/>
      <c r="AV133" s="3"/>
    </row>
    <row r="134" spans="1:48" ht="15.5" thickTop="1" thickBot="1" x14ac:dyDescent="0.4">
      <c r="A134" s="74" t="s">
        <v>46</v>
      </c>
      <c r="B134" s="130">
        <f>SUM(B129:B133)</f>
        <v>30225264</v>
      </c>
      <c r="C134" s="69"/>
      <c r="D134" s="69"/>
      <c r="E134" s="69"/>
      <c r="F134" s="69"/>
      <c r="G134" s="69"/>
      <c r="H134" s="69"/>
      <c r="I134" s="69"/>
      <c r="J134" s="69"/>
      <c r="K134" s="69"/>
      <c r="L134" s="69"/>
      <c r="M134" s="69"/>
      <c r="N134" s="69"/>
      <c r="O134" s="69"/>
      <c r="P134" s="69"/>
      <c r="Q134" s="69"/>
      <c r="R134" s="69"/>
      <c r="S134" s="69"/>
      <c r="T134" s="69"/>
      <c r="U134" s="69"/>
      <c r="V134" s="69"/>
      <c r="W134" s="3"/>
      <c r="X134" s="2"/>
      <c r="Y134" s="2"/>
      <c r="Z134" s="2"/>
      <c r="AA134" s="2"/>
      <c r="AB134" s="2"/>
      <c r="AC134" s="2"/>
      <c r="AD134" s="2"/>
      <c r="AE134" s="2"/>
      <c r="AF134" s="2"/>
      <c r="AG134" s="2"/>
      <c r="AH134" s="2"/>
      <c r="AI134" s="3"/>
      <c r="AJ134" s="3"/>
      <c r="AK134" s="3"/>
      <c r="AL134" s="3"/>
      <c r="AM134" s="3"/>
      <c r="AN134" s="3"/>
      <c r="AO134" s="3"/>
      <c r="AP134" s="3"/>
      <c r="AQ134" s="3"/>
      <c r="AR134" s="3"/>
      <c r="AS134" s="3"/>
      <c r="AT134" s="3"/>
      <c r="AU134" s="3"/>
      <c r="AV134" s="3"/>
    </row>
    <row r="135" spans="1:48" ht="15" thickBot="1" x14ac:dyDescent="0.4">
      <c r="A135" s="67" t="s">
        <v>47</v>
      </c>
      <c r="B135" s="131" t="s">
        <v>2</v>
      </c>
      <c r="W135" s="3"/>
      <c r="X135" s="2"/>
      <c r="Y135" s="2"/>
      <c r="Z135" s="2"/>
      <c r="AA135" s="2"/>
      <c r="AB135" s="2"/>
      <c r="AC135" s="2"/>
      <c r="AD135" s="2"/>
      <c r="AE135" s="2"/>
      <c r="AF135" s="2"/>
      <c r="AG135" s="2"/>
      <c r="AH135" s="2"/>
      <c r="AI135" s="3"/>
      <c r="AJ135" s="3"/>
      <c r="AK135" s="3"/>
      <c r="AL135" s="3"/>
      <c r="AM135" s="3"/>
      <c r="AN135" s="3"/>
      <c r="AO135" s="3"/>
      <c r="AP135" s="3"/>
      <c r="AQ135" s="3"/>
      <c r="AR135" s="3"/>
      <c r="AS135" s="3"/>
      <c r="AT135" s="3"/>
      <c r="AU135" s="3"/>
      <c r="AV135" s="3"/>
    </row>
    <row r="136" spans="1:48" ht="15.5" thickBot="1" x14ac:dyDescent="0.45">
      <c r="A136" s="70" t="s">
        <v>17</v>
      </c>
      <c r="B136" s="127">
        <v>741705</v>
      </c>
      <c r="W136" s="75"/>
      <c r="X136" s="2"/>
      <c r="Y136" s="2"/>
      <c r="Z136" s="75"/>
      <c r="AA136" s="2"/>
      <c r="AB136" s="2"/>
      <c r="AC136" s="2"/>
      <c r="AD136" s="2"/>
      <c r="AE136" s="2"/>
      <c r="AF136" s="2"/>
      <c r="AG136" s="2"/>
      <c r="AH136" s="2"/>
      <c r="AI136" s="3"/>
      <c r="AJ136" s="3"/>
      <c r="AK136" s="3"/>
      <c r="AL136" s="3"/>
      <c r="AM136" s="3"/>
      <c r="AN136" s="3"/>
      <c r="AO136" s="3"/>
      <c r="AP136" s="3"/>
      <c r="AQ136" s="3"/>
      <c r="AR136" s="3"/>
      <c r="AS136" s="3"/>
      <c r="AT136" s="3"/>
      <c r="AU136" s="3"/>
      <c r="AV136" s="3"/>
    </row>
    <row r="137" spans="1:48" ht="15.5" thickBot="1" x14ac:dyDescent="0.45">
      <c r="A137" s="70" t="s">
        <v>48</v>
      </c>
      <c r="B137" s="128">
        <v>17984226</v>
      </c>
      <c r="W137" s="75"/>
      <c r="X137" s="2"/>
      <c r="Y137" s="2"/>
      <c r="Z137" s="75"/>
      <c r="AA137" s="2"/>
      <c r="AB137" s="2"/>
      <c r="AC137" s="2"/>
      <c r="AD137" s="2"/>
      <c r="AE137" s="2"/>
      <c r="AF137" s="2"/>
      <c r="AG137" s="2"/>
      <c r="AH137" s="2"/>
      <c r="AI137" s="3"/>
      <c r="AJ137" s="3"/>
      <c r="AK137" s="3"/>
      <c r="AL137" s="3"/>
      <c r="AM137" s="3"/>
      <c r="AN137" s="3"/>
      <c r="AO137" s="3"/>
      <c r="AP137" s="3"/>
      <c r="AQ137" s="3"/>
      <c r="AR137" s="3"/>
      <c r="AS137" s="3"/>
      <c r="AT137" s="3"/>
      <c r="AU137" s="3"/>
      <c r="AV137" s="3"/>
    </row>
    <row r="138" spans="1:48" ht="15.5" thickBot="1" x14ac:dyDescent="0.45">
      <c r="A138" s="70" t="s">
        <v>49</v>
      </c>
      <c r="B138" s="128">
        <v>11074017</v>
      </c>
      <c r="W138" s="75"/>
      <c r="X138" s="2"/>
      <c r="Y138" s="2"/>
      <c r="Z138" s="75"/>
      <c r="AA138" s="2"/>
      <c r="AB138" s="2"/>
      <c r="AC138" s="2"/>
      <c r="AD138" s="2"/>
      <c r="AE138" s="2"/>
      <c r="AF138" s="2"/>
      <c r="AG138" s="2"/>
      <c r="AH138" s="2"/>
      <c r="AI138" s="3"/>
      <c r="AJ138" s="3"/>
      <c r="AK138" s="3"/>
      <c r="AL138" s="3"/>
      <c r="AM138" s="3"/>
      <c r="AN138" s="3"/>
      <c r="AO138" s="3"/>
      <c r="AP138" s="3"/>
      <c r="AQ138" s="3"/>
      <c r="AR138" s="3"/>
      <c r="AS138" s="3"/>
      <c r="AT138" s="3"/>
      <c r="AU138" s="3"/>
      <c r="AV138" s="3"/>
    </row>
    <row r="139" spans="1:48" ht="18.75" customHeight="1" thickBot="1" x14ac:dyDescent="0.45">
      <c r="A139" s="73" t="s">
        <v>50</v>
      </c>
      <c r="B139" s="129">
        <v>425316</v>
      </c>
      <c r="W139" s="75"/>
      <c r="X139" s="2"/>
      <c r="Y139" s="2"/>
      <c r="Z139" s="75"/>
      <c r="AA139" s="2"/>
      <c r="AB139" s="2"/>
      <c r="AC139" s="2"/>
      <c r="AD139" s="2"/>
      <c r="AE139" s="2"/>
      <c r="AF139" s="2"/>
      <c r="AG139" s="2"/>
      <c r="AH139" s="2"/>
      <c r="AI139" s="3"/>
      <c r="AJ139" s="3"/>
      <c r="AK139" s="3"/>
      <c r="AL139" s="3"/>
      <c r="AM139" s="3"/>
      <c r="AN139" s="3"/>
      <c r="AO139" s="3"/>
      <c r="AP139" s="3"/>
      <c r="AQ139" s="3"/>
      <c r="AR139" s="3"/>
      <c r="AS139" s="3"/>
      <c r="AT139" s="3"/>
      <c r="AU139" s="3"/>
      <c r="AV139" s="3"/>
    </row>
    <row r="140" spans="1:48" ht="15.5" thickTop="1" thickBot="1" x14ac:dyDescent="0.4">
      <c r="A140" s="70" t="s">
        <v>51</v>
      </c>
      <c r="B140" s="130">
        <f>SUM(B136:B139)</f>
        <v>30225264</v>
      </c>
      <c r="W140" s="76"/>
      <c r="X140" s="2"/>
      <c r="Y140" s="2"/>
      <c r="Z140" s="77"/>
      <c r="AA140" s="2"/>
      <c r="AB140" s="2"/>
      <c r="AC140" s="2"/>
      <c r="AD140" s="2"/>
      <c r="AE140" s="2"/>
      <c r="AF140" s="2"/>
      <c r="AG140" s="2"/>
      <c r="AH140" s="2"/>
      <c r="AI140" s="3"/>
      <c r="AJ140" s="3"/>
      <c r="AK140" s="3"/>
      <c r="AL140" s="3"/>
      <c r="AM140" s="3"/>
      <c r="AN140" s="3"/>
      <c r="AO140" s="3"/>
      <c r="AP140" s="3"/>
      <c r="AQ140" s="3"/>
      <c r="AR140" s="3"/>
      <c r="AS140" s="3"/>
      <c r="AT140" s="3"/>
      <c r="AU140" s="3"/>
      <c r="AV140" s="3"/>
    </row>
    <row r="141" spans="1:48" ht="15" thickBot="1" x14ac:dyDescent="0.4">
      <c r="W141" s="76"/>
      <c r="X141" s="2"/>
      <c r="Y141" s="2"/>
      <c r="Z141" s="77"/>
      <c r="AA141" s="2"/>
      <c r="AB141" s="2"/>
      <c r="AC141" s="2"/>
      <c r="AD141" s="2"/>
      <c r="AE141" s="2"/>
      <c r="AF141" s="2"/>
      <c r="AG141" s="2"/>
      <c r="AH141" s="2"/>
      <c r="AI141" s="3"/>
      <c r="AJ141" s="3"/>
      <c r="AK141" s="3"/>
      <c r="AL141" s="3"/>
      <c r="AM141" s="3"/>
      <c r="AN141" s="3"/>
      <c r="AO141" s="3"/>
      <c r="AP141" s="3"/>
      <c r="AQ141" s="3"/>
      <c r="AR141" s="3"/>
      <c r="AS141" s="3"/>
      <c r="AT141" s="3"/>
      <c r="AU141" s="3"/>
      <c r="AV141" s="3"/>
    </row>
    <row r="142" spans="1:48" ht="15" x14ac:dyDescent="0.4">
      <c r="C142" s="78"/>
      <c r="D142" s="3"/>
      <c r="E142" s="3"/>
      <c r="F142" s="3"/>
      <c r="G142" s="3"/>
      <c r="H142" s="3"/>
      <c r="I142" s="3"/>
      <c r="J142" s="3"/>
      <c r="K142" s="3"/>
      <c r="L142" s="3"/>
      <c r="M142" s="3"/>
      <c r="N142" s="3"/>
      <c r="O142" s="3"/>
      <c r="P142" s="3"/>
      <c r="Q142" s="3"/>
      <c r="R142" s="3"/>
      <c r="S142" s="3"/>
      <c r="T142" s="69"/>
      <c r="U142" s="69"/>
      <c r="V142" s="69"/>
      <c r="W142" s="3"/>
      <c r="X142" s="2"/>
      <c r="Y142" s="2"/>
      <c r="Z142" s="75"/>
      <c r="AA142" s="2"/>
      <c r="AB142" s="2"/>
      <c r="AC142" s="2"/>
      <c r="AD142" s="2"/>
      <c r="AE142" s="2"/>
      <c r="AF142" s="2"/>
      <c r="AG142" s="2"/>
      <c r="AH142" s="2"/>
      <c r="AI142" s="3"/>
      <c r="AJ142" s="3"/>
      <c r="AK142" s="3"/>
      <c r="AL142" s="3"/>
      <c r="AM142" s="3"/>
      <c r="AN142" s="3"/>
      <c r="AO142" s="3"/>
      <c r="AP142" s="3"/>
      <c r="AQ142" s="3"/>
      <c r="AR142" s="3"/>
      <c r="AS142" s="3"/>
      <c r="AT142" s="3"/>
      <c r="AU142" s="3"/>
      <c r="AV142" s="3"/>
    </row>
    <row r="143" spans="1:48" ht="145" x14ac:dyDescent="0.4">
      <c r="A143" s="79" t="s">
        <v>52</v>
      </c>
      <c r="C143" s="80"/>
      <c r="D143" s="3"/>
      <c r="E143" s="3"/>
      <c r="F143" s="3"/>
      <c r="G143" s="3"/>
      <c r="H143" s="3"/>
      <c r="I143" s="3"/>
      <c r="J143" s="3"/>
      <c r="K143" s="3"/>
      <c r="L143" s="3"/>
      <c r="M143" s="3"/>
      <c r="N143" s="3"/>
      <c r="O143" s="3"/>
      <c r="P143" s="3"/>
      <c r="Q143" s="3"/>
      <c r="R143" s="3"/>
      <c r="S143" s="3"/>
      <c r="T143" s="69"/>
      <c r="U143" s="69"/>
      <c r="V143" s="69"/>
      <c r="W143" s="3"/>
      <c r="X143" s="2"/>
      <c r="Y143" s="2"/>
      <c r="Z143" s="75"/>
      <c r="AA143" s="2"/>
      <c r="AB143" s="2"/>
      <c r="AC143" s="2"/>
      <c r="AD143" s="2"/>
      <c r="AE143" s="2"/>
      <c r="AF143" s="2"/>
      <c r="AG143" s="2"/>
      <c r="AH143" s="2"/>
      <c r="AI143" s="3"/>
      <c r="AJ143" s="3"/>
      <c r="AK143" s="3"/>
      <c r="AL143" s="3"/>
      <c r="AM143" s="3"/>
      <c r="AN143" s="3"/>
      <c r="AO143" s="3"/>
      <c r="AP143" s="3"/>
      <c r="AQ143" s="3"/>
      <c r="AR143" s="3"/>
      <c r="AS143" s="3"/>
      <c r="AT143" s="3"/>
      <c r="AU143" s="3"/>
      <c r="AV143" s="3"/>
    </row>
    <row r="144" spans="1:48" ht="15" x14ac:dyDescent="0.4">
      <c r="A144" s="3"/>
      <c r="B144" s="3"/>
      <c r="C144" s="81"/>
      <c r="D144" s="214"/>
      <c r="E144" s="214"/>
      <c r="F144" s="214"/>
      <c r="G144" s="214"/>
      <c r="H144" s="214"/>
      <c r="I144" s="214"/>
      <c r="J144" s="214"/>
      <c r="K144" s="214"/>
      <c r="L144" s="214"/>
      <c r="M144" s="214"/>
      <c r="N144" s="214"/>
      <c r="O144" s="214"/>
      <c r="P144" s="214"/>
      <c r="Q144" s="214"/>
      <c r="R144" s="214"/>
      <c r="S144" s="3"/>
      <c r="T144" s="69"/>
      <c r="U144" s="69"/>
      <c r="V144" s="69"/>
      <c r="W144" s="3"/>
      <c r="X144" s="2"/>
      <c r="Y144" s="2"/>
      <c r="Z144" s="75"/>
      <c r="AA144" s="2"/>
      <c r="AB144" s="2"/>
      <c r="AC144" s="2"/>
      <c r="AD144" s="2"/>
      <c r="AE144" s="2"/>
      <c r="AF144" s="2"/>
      <c r="AG144" s="2"/>
      <c r="AH144" s="2"/>
      <c r="AI144" s="3"/>
      <c r="AJ144" s="3"/>
      <c r="AK144" s="3"/>
      <c r="AL144" s="3"/>
      <c r="AM144" s="3"/>
      <c r="AN144" s="3"/>
      <c r="AO144" s="3"/>
      <c r="AP144" s="3"/>
      <c r="AQ144" s="3"/>
      <c r="AR144" s="3"/>
      <c r="AS144" s="3"/>
      <c r="AT144" s="3"/>
      <c r="AU144" s="3"/>
      <c r="AV144" s="3"/>
    </row>
    <row r="145" spans="1:48" ht="15" x14ac:dyDescent="0.4">
      <c r="A145" s="3"/>
      <c r="B145" s="3"/>
      <c r="C145" s="80"/>
      <c r="D145" s="3"/>
      <c r="E145" s="3"/>
      <c r="F145" s="3"/>
      <c r="G145" s="3"/>
      <c r="H145" s="3"/>
      <c r="I145" s="3"/>
      <c r="J145" s="3"/>
      <c r="K145" s="3"/>
      <c r="L145" s="3"/>
      <c r="M145" s="3"/>
      <c r="N145" s="3"/>
      <c r="O145" s="3"/>
      <c r="P145" s="3"/>
      <c r="Q145" s="3"/>
      <c r="R145" s="3"/>
      <c r="S145" s="3"/>
      <c r="T145" s="69"/>
      <c r="U145" s="69"/>
      <c r="V145" s="69"/>
      <c r="W145" s="3"/>
      <c r="X145" s="2"/>
      <c r="Y145" s="2"/>
      <c r="Z145" s="75"/>
      <c r="AA145" s="2"/>
      <c r="AB145" s="2"/>
      <c r="AC145" s="2"/>
      <c r="AD145" s="2"/>
      <c r="AE145" s="2"/>
      <c r="AF145" s="2"/>
      <c r="AG145" s="2"/>
      <c r="AH145" s="2"/>
      <c r="AI145" s="3"/>
      <c r="AJ145" s="3"/>
      <c r="AK145" s="3"/>
      <c r="AL145" s="3"/>
      <c r="AM145" s="3"/>
      <c r="AN145" s="3"/>
      <c r="AO145" s="3"/>
      <c r="AP145" s="3"/>
      <c r="AQ145" s="3"/>
      <c r="AR145" s="3"/>
      <c r="AS145" s="3"/>
      <c r="AT145" s="3"/>
      <c r="AU145" s="3"/>
      <c r="AV145" s="3"/>
    </row>
    <row r="146" spans="1:48" ht="15" x14ac:dyDescent="0.4">
      <c r="A146" s="3"/>
      <c r="B146" s="3"/>
      <c r="C146" s="82"/>
      <c r="D146" s="85"/>
      <c r="E146" s="85"/>
      <c r="F146" s="85"/>
      <c r="G146" s="85"/>
      <c r="H146" s="85"/>
      <c r="I146" s="85"/>
      <c r="J146" s="85"/>
      <c r="K146" s="85"/>
      <c r="L146" s="85"/>
      <c r="M146" s="85"/>
      <c r="N146" s="85"/>
      <c r="O146" s="85"/>
      <c r="P146" s="85"/>
      <c r="Q146" s="85"/>
      <c r="R146" s="85"/>
      <c r="S146" s="3"/>
      <c r="T146" s="83"/>
      <c r="U146" s="83"/>
      <c r="V146" s="69"/>
      <c r="W146" s="3"/>
      <c r="X146" s="2"/>
      <c r="Y146" s="2"/>
      <c r="Z146" s="75"/>
      <c r="AA146" s="2"/>
      <c r="AB146" s="2"/>
      <c r="AC146" s="2"/>
      <c r="AD146" s="2"/>
      <c r="AE146" s="2"/>
      <c r="AF146" s="2"/>
      <c r="AG146" s="2"/>
      <c r="AH146" s="2"/>
      <c r="AI146" s="3"/>
      <c r="AJ146" s="3"/>
      <c r="AK146" s="3"/>
      <c r="AL146" s="3"/>
      <c r="AM146" s="3"/>
      <c r="AN146" s="3"/>
      <c r="AO146" s="3"/>
      <c r="AP146" s="3"/>
      <c r="AQ146" s="3"/>
      <c r="AR146" s="3"/>
      <c r="AS146" s="3"/>
      <c r="AT146" s="3"/>
      <c r="AU146" s="3"/>
      <c r="AV146" s="3"/>
    </row>
    <row r="147" spans="1:48" ht="15" x14ac:dyDescent="0.4">
      <c r="A147" s="3"/>
      <c r="B147" s="3"/>
      <c r="C147" s="84"/>
      <c r="D147" s="215"/>
      <c r="E147" s="215"/>
      <c r="F147" s="215"/>
      <c r="G147" s="215"/>
      <c r="H147" s="215"/>
      <c r="I147" s="215"/>
      <c r="J147" s="215"/>
      <c r="K147" s="215"/>
      <c r="L147" s="215"/>
      <c r="M147" s="215"/>
      <c r="N147" s="215"/>
      <c r="O147" s="215"/>
      <c r="P147" s="215"/>
      <c r="Q147" s="215"/>
      <c r="R147" s="215"/>
      <c r="S147" s="85"/>
      <c r="T147" s="83"/>
      <c r="U147" s="83"/>
      <c r="V147" s="69"/>
      <c r="W147" s="3"/>
      <c r="X147" s="2"/>
      <c r="Y147" s="2"/>
      <c r="Z147" s="75"/>
      <c r="AA147" s="2"/>
      <c r="AB147" s="2"/>
      <c r="AC147" s="2"/>
      <c r="AD147" s="2"/>
      <c r="AE147" s="2"/>
      <c r="AF147" s="2"/>
      <c r="AG147" s="2"/>
      <c r="AH147" s="2"/>
      <c r="AI147" s="2"/>
      <c r="AJ147" s="2"/>
      <c r="AK147" s="2"/>
      <c r="AL147" s="2"/>
      <c r="AM147" s="2"/>
      <c r="AN147" s="2"/>
      <c r="AO147" s="2"/>
      <c r="AP147" s="2"/>
      <c r="AQ147" s="2"/>
      <c r="AR147" s="2"/>
      <c r="AS147" s="2"/>
      <c r="AT147" s="2"/>
      <c r="AU147" s="2"/>
      <c r="AV147" s="2"/>
    </row>
    <row r="148" spans="1:48" ht="15" x14ac:dyDescent="0.4">
      <c r="A148" s="3"/>
      <c r="B148" s="3"/>
      <c r="C148" s="84"/>
      <c r="D148" s="215"/>
      <c r="E148" s="215"/>
      <c r="F148" s="215"/>
      <c r="G148" s="215"/>
      <c r="H148" s="215"/>
      <c r="I148" s="215"/>
      <c r="J148" s="215"/>
      <c r="K148" s="215"/>
      <c r="L148" s="215"/>
      <c r="M148" s="215"/>
      <c r="N148" s="215"/>
      <c r="O148" s="215"/>
      <c r="P148" s="215"/>
      <c r="Q148" s="215"/>
      <c r="R148" s="215"/>
      <c r="S148" s="86"/>
      <c r="T148" s="83"/>
      <c r="U148" s="83"/>
      <c r="V148" s="69"/>
      <c r="W148" s="3"/>
      <c r="X148" s="2"/>
      <c r="Y148" s="2"/>
      <c r="Z148" s="75"/>
      <c r="AA148" s="2"/>
      <c r="AB148" s="2"/>
      <c r="AC148" s="2"/>
      <c r="AD148" s="2"/>
      <c r="AE148" s="2"/>
      <c r="AF148" s="2"/>
      <c r="AG148" s="2"/>
      <c r="AH148" s="2"/>
      <c r="AI148" s="2"/>
      <c r="AJ148" s="2"/>
      <c r="AK148" s="2"/>
      <c r="AL148" s="2"/>
      <c r="AM148" s="2"/>
      <c r="AN148" s="2"/>
      <c r="AO148" s="2"/>
      <c r="AP148" s="2"/>
      <c r="AQ148" s="2"/>
      <c r="AR148" s="2"/>
      <c r="AS148" s="2"/>
      <c r="AT148" s="2"/>
      <c r="AU148" s="2"/>
      <c r="AV148" s="2"/>
    </row>
    <row r="149" spans="1:48" x14ac:dyDescent="0.35">
      <c r="A149" s="3"/>
      <c r="B149" s="3"/>
      <c r="C149" s="87"/>
      <c r="D149" s="216"/>
      <c r="E149" s="216"/>
      <c r="F149" s="216"/>
      <c r="G149" s="216"/>
      <c r="H149" s="216"/>
      <c r="I149" s="216"/>
      <c r="J149" s="216"/>
      <c r="K149" s="216"/>
      <c r="L149" s="216"/>
      <c r="M149" s="216"/>
      <c r="N149" s="216"/>
      <c r="O149" s="216"/>
      <c r="P149" s="216"/>
      <c r="Q149" s="216"/>
      <c r="R149" s="216"/>
      <c r="S149" s="88"/>
      <c r="T149" s="83"/>
      <c r="U149" s="83"/>
      <c r="V149" s="69"/>
      <c r="W149" s="3"/>
      <c r="X149" s="2"/>
      <c r="Y149" s="2"/>
      <c r="Z149" s="77"/>
      <c r="AA149" s="2"/>
      <c r="AB149" s="2"/>
      <c r="AC149" s="2"/>
      <c r="AD149" s="2"/>
      <c r="AE149" s="2"/>
      <c r="AF149" s="2"/>
      <c r="AG149" s="2"/>
      <c r="AH149" s="2"/>
      <c r="AI149" s="2"/>
      <c r="AJ149" s="2"/>
      <c r="AK149" s="2"/>
      <c r="AL149" s="2"/>
      <c r="AM149" s="2"/>
      <c r="AN149" s="2"/>
      <c r="AO149" s="2"/>
      <c r="AP149" s="2"/>
      <c r="AQ149" s="2"/>
      <c r="AR149" s="2"/>
      <c r="AS149" s="2"/>
      <c r="AT149" s="2"/>
      <c r="AU149" s="2"/>
      <c r="AV149" s="2"/>
    </row>
    <row r="150" spans="1:48" ht="15" x14ac:dyDescent="0.4">
      <c r="A150" s="3"/>
      <c r="B150" s="3"/>
      <c r="C150" s="89"/>
      <c r="D150" s="217"/>
      <c r="E150" s="217"/>
      <c r="F150" s="217"/>
      <c r="G150" s="217"/>
      <c r="H150" s="217"/>
      <c r="I150" s="217"/>
      <c r="J150" s="217"/>
      <c r="K150" s="217"/>
      <c r="L150" s="217"/>
      <c r="M150" s="217"/>
      <c r="N150" s="217"/>
      <c r="O150" s="217"/>
      <c r="P150" s="217"/>
      <c r="Q150" s="217"/>
      <c r="R150" s="217"/>
      <c r="S150" s="88"/>
      <c r="T150" s="83"/>
      <c r="U150" s="83"/>
      <c r="V150" s="69"/>
      <c r="W150" s="3"/>
      <c r="X150" s="2"/>
      <c r="Y150" s="2"/>
      <c r="Z150" s="75"/>
      <c r="AA150" s="2"/>
      <c r="AB150" s="2"/>
      <c r="AC150" s="2"/>
      <c r="AD150" s="2"/>
      <c r="AE150" s="2"/>
      <c r="AF150" s="2"/>
      <c r="AG150" s="2"/>
      <c r="AH150" s="2"/>
      <c r="AI150" s="2"/>
      <c r="AJ150" s="2"/>
      <c r="AK150" s="2"/>
      <c r="AL150" s="2"/>
      <c r="AM150" s="2"/>
      <c r="AN150" s="2"/>
      <c r="AO150" s="2"/>
      <c r="AP150" s="2"/>
      <c r="AQ150" s="2"/>
      <c r="AR150" s="2"/>
      <c r="AS150" s="2"/>
      <c r="AT150" s="2"/>
      <c r="AU150" s="2"/>
      <c r="AV150" s="2"/>
    </row>
    <row r="151" spans="1:48" x14ac:dyDescent="0.35">
      <c r="A151" s="3"/>
      <c r="B151" s="3"/>
      <c r="C151" s="81"/>
      <c r="D151" s="214"/>
      <c r="E151" s="214"/>
      <c r="F151" s="214"/>
      <c r="G151" s="214"/>
      <c r="H151" s="214"/>
      <c r="I151" s="214"/>
      <c r="J151" s="214"/>
      <c r="K151" s="214"/>
      <c r="L151" s="214"/>
      <c r="M151" s="214"/>
      <c r="N151" s="214"/>
      <c r="O151" s="214"/>
      <c r="P151" s="214"/>
      <c r="Q151" s="214"/>
      <c r="R151" s="214"/>
      <c r="S151" s="88"/>
      <c r="T151" s="83"/>
      <c r="U151" s="83"/>
      <c r="V151" s="3"/>
      <c r="W151" s="3"/>
      <c r="X151" s="2"/>
      <c r="Y151" s="2"/>
      <c r="Z151" s="90"/>
      <c r="AA151" s="2"/>
      <c r="AB151" s="2"/>
      <c r="AC151" s="2"/>
      <c r="AD151" s="2"/>
      <c r="AE151" s="2"/>
      <c r="AF151" s="2"/>
      <c r="AG151" s="2"/>
      <c r="AH151" s="2"/>
      <c r="AI151" s="2"/>
      <c r="AJ151" s="2"/>
      <c r="AK151" s="2"/>
      <c r="AL151" s="2"/>
      <c r="AM151" s="2"/>
      <c r="AN151" s="2"/>
      <c r="AO151" s="2"/>
      <c r="AP151" s="2"/>
      <c r="AQ151" s="2"/>
      <c r="AR151" s="2"/>
      <c r="AS151" s="2"/>
      <c r="AT151" s="2"/>
      <c r="AU151" s="2"/>
      <c r="AV151" s="2"/>
    </row>
    <row r="152" spans="1:48" x14ac:dyDescent="0.35">
      <c r="A152" s="3"/>
      <c r="B152" s="3"/>
      <c r="C152" s="80"/>
      <c r="D152" s="3"/>
      <c r="E152" s="3"/>
      <c r="F152" s="3"/>
      <c r="G152" s="3"/>
      <c r="H152" s="3"/>
      <c r="I152" s="3"/>
      <c r="J152" s="3"/>
      <c r="K152" s="3"/>
      <c r="L152" s="3"/>
      <c r="M152" s="3"/>
      <c r="N152" s="3"/>
      <c r="O152" s="3"/>
      <c r="P152" s="3"/>
      <c r="Q152" s="3"/>
      <c r="R152" s="3"/>
      <c r="S152" s="88"/>
      <c r="T152" s="83"/>
      <c r="U152" s="83"/>
      <c r="V152" s="3"/>
      <c r="W152" s="3"/>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row>
    <row r="153" spans="1:48" x14ac:dyDescent="0.35">
      <c r="A153" s="3"/>
      <c r="B153" s="3"/>
      <c r="C153" s="91"/>
      <c r="D153" s="218"/>
      <c r="E153" s="218"/>
      <c r="F153" s="218"/>
      <c r="G153" s="218"/>
      <c r="H153" s="218"/>
      <c r="I153" s="218"/>
      <c r="J153" s="218"/>
      <c r="K153" s="218"/>
      <c r="L153" s="218"/>
      <c r="M153" s="218"/>
      <c r="N153" s="218"/>
      <c r="O153" s="218"/>
      <c r="P153" s="218"/>
      <c r="Q153" s="218"/>
      <c r="R153" s="218"/>
      <c r="S153" s="92"/>
      <c r="T153" s="2"/>
      <c r="U153" s="2"/>
      <c r="V153" s="3"/>
      <c r="W153" s="3"/>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row>
    <row r="154" spans="1:48" x14ac:dyDescent="0.35">
      <c r="A154" s="3"/>
      <c r="B154" s="3"/>
      <c r="C154" s="80"/>
      <c r="D154" s="3"/>
      <c r="E154" s="3"/>
      <c r="F154" s="3"/>
      <c r="G154" s="3"/>
      <c r="H154" s="3"/>
      <c r="I154" s="3"/>
      <c r="J154" s="3"/>
      <c r="K154" s="3"/>
      <c r="L154" s="3"/>
      <c r="M154" s="3"/>
      <c r="N154" s="3"/>
      <c r="O154" s="3"/>
      <c r="P154" s="3"/>
      <c r="Q154" s="3"/>
      <c r="R154" s="3"/>
      <c r="S154" s="3"/>
      <c r="T154" s="2"/>
      <c r="U154" s="2"/>
      <c r="V154" s="3"/>
      <c r="W154" s="3"/>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row>
    <row r="155" spans="1:48" x14ac:dyDescent="0.35">
      <c r="A155" s="3"/>
      <c r="B155" s="3"/>
      <c r="C155" s="93"/>
      <c r="D155" s="219"/>
      <c r="E155" s="219"/>
      <c r="F155" s="219"/>
      <c r="G155" s="219"/>
      <c r="H155" s="219"/>
      <c r="I155" s="219"/>
      <c r="J155" s="219"/>
      <c r="K155" s="219"/>
      <c r="L155" s="219"/>
      <c r="M155" s="219"/>
      <c r="N155" s="219"/>
      <c r="O155" s="219"/>
      <c r="P155" s="219"/>
      <c r="Q155" s="219"/>
      <c r="R155" s="219"/>
      <c r="S155" s="3"/>
      <c r="T155" s="2"/>
      <c r="U155" s="2"/>
      <c r="V155" s="3"/>
      <c r="W155" s="3"/>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row>
    <row r="156" spans="1:48" x14ac:dyDescent="0.35">
      <c r="A156" s="3"/>
      <c r="B156" s="3"/>
      <c r="C156" s="93"/>
      <c r="D156" s="219"/>
      <c r="E156" s="219"/>
      <c r="F156" s="219"/>
      <c r="G156" s="219"/>
      <c r="H156" s="219"/>
      <c r="I156" s="219"/>
      <c r="J156" s="219"/>
      <c r="K156" s="219"/>
      <c r="L156" s="219"/>
      <c r="M156" s="219"/>
      <c r="N156" s="219"/>
      <c r="O156" s="219"/>
      <c r="P156" s="219"/>
      <c r="Q156" s="219"/>
      <c r="R156" s="219"/>
      <c r="S156" s="3"/>
      <c r="T156" s="2"/>
      <c r="U156" s="2"/>
      <c r="V156" s="3"/>
      <c r="W156" s="3"/>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row>
    <row r="157" spans="1:48" x14ac:dyDescent="0.35">
      <c r="A157" s="3"/>
      <c r="B157" s="3"/>
      <c r="C157" s="84"/>
      <c r="D157" s="215"/>
      <c r="E157" s="215"/>
      <c r="F157" s="215"/>
      <c r="G157" s="215"/>
      <c r="H157" s="215"/>
      <c r="I157" s="215"/>
      <c r="J157" s="215"/>
      <c r="K157" s="215"/>
      <c r="L157" s="215"/>
      <c r="M157" s="215"/>
      <c r="N157" s="215"/>
      <c r="O157" s="215"/>
      <c r="P157" s="215"/>
      <c r="Q157" s="215"/>
      <c r="R157" s="215"/>
      <c r="S157" s="3"/>
      <c r="T157" s="2"/>
      <c r="U157" s="2"/>
      <c r="V157" s="3"/>
      <c r="W157" s="3"/>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row>
    <row r="158" spans="1:48" x14ac:dyDescent="0.35">
      <c r="A158" s="3"/>
      <c r="B158" s="3"/>
      <c r="C158" s="94"/>
      <c r="D158" s="220"/>
      <c r="E158" s="220"/>
      <c r="F158" s="220"/>
      <c r="G158" s="220"/>
      <c r="H158" s="220"/>
      <c r="I158" s="220"/>
      <c r="J158" s="220"/>
      <c r="K158" s="220"/>
      <c r="L158" s="220"/>
      <c r="M158" s="220"/>
      <c r="N158" s="220"/>
      <c r="O158" s="220"/>
      <c r="P158" s="220"/>
      <c r="Q158" s="220"/>
      <c r="R158" s="220"/>
      <c r="S158" s="3"/>
      <c r="T158" s="2"/>
      <c r="U158" s="2"/>
      <c r="V158" s="3"/>
      <c r="W158" s="3"/>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row>
    <row r="159" spans="1:48" ht="15" thickBot="1" x14ac:dyDescent="0.4">
      <c r="A159" s="2"/>
      <c r="B159" s="2"/>
      <c r="C159" s="95"/>
      <c r="D159" s="217"/>
      <c r="E159" s="217"/>
      <c r="F159" s="217"/>
      <c r="G159" s="217"/>
      <c r="H159" s="217"/>
      <c r="I159" s="217"/>
      <c r="J159" s="217"/>
      <c r="K159" s="217"/>
      <c r="L159" s="217"/>
      <c r="M159" s="217"/>
      <c r="N159" s="217"/>
      <c r="O159" s="217"/>
      <c r="P159" s="217"/>
      <c r="Q159" s="217"/>
      <c r="R159" s="217"/>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row>
    <row r="160" spans="1:48" x14ac:dyDescent="0.35">
      <c r="A160" s="2"/>
      <c r="B160" s="2"/>
      <c r="C160" s="3"/>
      <c r="D160" s="3"/>
      <c r="E160" s="3"/>
      <c r="F160" s="3"/>
      <c r="G160" s="3"/>
      <c r="H160" s="3"/>
      <c r="I160" s="3"/>
      <c r="J160" s="3"/>
      <c r="K160" s="3"/>
      <c r="L160" s="3"/>
      <c r="M160" s="3"/>
      <c r="N160" s="3"/>
      <c r="O160" s="3"/>
      <c r="P160" s="3"/>
      <c r="Q160" s="3"/>
      <c r="R160" s="3"/>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row>
    <row r="161" spans="1:48" x14ac:dyDescent="0.35">
      <c r="A161" s="2"/>
      <c r="B161" s="2"/>
      <c r="C161" s="3"/>
      <c r="D161" s="3"/>
      <c r="E161" s="3"/>
      <c r="F161" s="3"/>
      <c r="G161" s="3"/>
      <c r="H161" s="3"/>
      <c r="I161" s="3"/>
      <c r="J161" s="3"/>
      <c r="K161" s="3"/>
      <c r="L161" s="3"/>
      <c r="M161" s="3"/>
      <c r="N161" s="3"/>
      <c r="O161" s="3"/>
      <c r="P161" s="3"/>
      <c r="Q161" s="3"/>
      <c r="R161" s="3"/>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row>
    <row r="162" spans="1:48"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row>
    <row r="163" spans="1:48"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row>
    <row r="164" spans="1:48"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row>
    <row r="165" spans="1:48"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row>
    <row r="166" spans="1:48"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row>
    <row r="167" spans="1:48"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row>
    <row r="168" spans="1:48"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row>
    <row r="169" spans="1:48"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row>
    <row r="170" spans="1:48"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row>
    <row r="171" spans="1:48" ht="18"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row>
    <row r="172" spans="1:48"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row>
    <row r="173" spans="1:48"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row>
    <row r="174" spans="1:48"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row>
    <row r="175" spans="1:48"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row>
    <row r="176" spans="1:48"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row>
    <row r="177" spans="1:48"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row>
    <row r="178" spans="1:48"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row>
    <row r="179" spans="1:48"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row>
    <row r="180" spans="1:48"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row>
    <row r="181" spans="1:48" x14ac:dyDescent="0.35">
      <c r="A181" s="2"/>
      <c r="B181" s="2"/>
      <c r="C181" s="2"/>
      <c r="D181" s="2"/>
      <c r="E181" s="2"/>
      <c r="F181" s="2"/>
      <c r="G181" s="2"/>
      <c r="H181" s="2"/>
      <c r="I181" s="2"/>
      <c r="J181" s="2"/>
      <c r="K181" s="2"/>
      <c r="L181" s="2"/>
      <c r="M181" s="2"/>
      <c r="N181" s="2"/>
      <c r="O181" s="2"/>
      <c r="P181" s="2"/>
      <c r="Q181" s="2"/>
      <c r="R181" s="2"/>
      <c r="S181" s="2"/>
      <c r="T181" s="3"/>
      <c r="U181" s="3"/>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row>
    <row r="182" spans="1:48" ht="18" customHeight="1" x14ac:dyDescent="0.35">
      <c r="A182" s="2"/>
      <c r="B182" s="2"/>
      <c r="C182" s="2"/>
      <c r="D182" s="2"/>
      <c r="E182" s="2"/>
      <c r="F182" s="2"/>
      <c r="G182" s="2"/>
      <c r="H182" s="2"/>
      <c r="I182" s="2"/>
      <c r="J182" s="2"/>
      <c r="K182" s="2"/>
      <c r="L182" s="2"/>
      <c r="M182" s="2"/>
      <c r="N182" s="2"/>
      <c r="O182" s="2"/>
      <c r="P182" s="2"/>
      <c r="Q182" s="2"/>
      <c r="R182" s="2"/>
      <c r="S182" s="2"/>
      <c r="T182" s="3"/>
      <c r="U182" s="3"/>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row>
    <row r="183" spans="1:48" x14ac:dyDescent="0.35">
      <c r="A183" s="2"/>
      <c r="B183" s="2"/>
      <c r="C183" s="2"/>
      <c r="D183" s="2"/>
      <c r="E183" s="2"/>
      <c r="F183" s="2"/>
      <c r="G183" s="2"/>
      <c r="H183" s="2"/>
      <c r="I183" s="2"/>
      <c r="J183" s="2"/>
      <c r="K183" s="2"/>
      <c r="L183" s="2"/>
      <c r="M183" s="2"/>
      <c r="N183" s="2"/>
      <c r="O183" s="2"/>
      <c r="P183" s="2"/>
      <c r="Q183" s="2"/>
      <c r="R183" s="2"/>
      <c r="S183" s="2"/>
      <c r="T183" s="3"/>
      <c r="U183" s="3"/>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row>
    <row r="184" spans="1:48" x14ac:dyDescent="0.35">
      <c r="A184" s="2"/>
      <c r="B184" s="2"/>
      <c r="C184" s="2"/>
      <c r="D184" s="2"/>
      <c r="E184" s="2"/>
      <c r="F184" s="2"/>
      <c r="G184" s="2"/>
      <c r="H184" s="2"/>
      <c r="I184" s="2"/>
      <c r="J184" s="2"/>
      <c r="K184" s="2"/>
      <c r="L184" s="2"/>
      <c r="M184" s="2"/>
      <c r="N184" s="2"/>
      <c r="O184" s="2"/>
      <c r="P184" s="2"/>
      <c r="Q184" s="2"/>
      <c r="R184" s="2"/>
      <c r="S184" s="2"/>
      <c r="T184" s="3"/>
      <c r="U184" s="3"/>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row>
    <row r="185" spans="1:48" x14ac:dyDescent="0.35">
      <c r="A185" s="2"/>
      <c r="B185" s="2"/>
      <c r="C185" s="2"/>
      <c r="D185" s="2"/>
      <c r="E185" s="2"/>
      <c r="F185" s="2"/>
      <c r="G185" s="2"/>
      <c r="H185" s="2"/>
      <c r="I185" s="2"/>
      <c r="J185" s="2"/>
      <c r="K185" s="2"/>
      <c r="L185" s="2"/>
      <c r="M185" s="2"/>
      <c r="N185" s="2"/>
      <c r="O185" s="2"/>
      <c r="P185" s="2"/>
      <c r="Q185" s="2"/>
      <c r="R185" s="2"/>
      <c r="S185" s="2"/>
      <c r="T185" s="3"/>
      <c r="U185" s="3"/>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row>
    <row r="186" spans="1:48" x14ac:dyDescent="0.35">
      <c r="A186" s="2"/>
      <c r="B186" s="2"/>
      <c r="C186" s="2"/>
      <c r="D186" s="2"/>
      <c r="E186" s="2"/>
      <c r="F186" s="2"/>
      <c r="G186" s="2"/>
      <c r="H186" s="2"/>
      <c r="I186" s="2"/>
      <c r="J186" s="2"/>
      <c r="K186" s="2"/>
      <c r="L186" s="2"/>
      <c r="M186" s="2"/>
      <c r="N186" s="2"/>
      <c r="O186" s="2"/>
      <c r="P186" s="2"/>
      <c r="Q186" s="2"/>
      <c r="R186" s="2"/>
      <c r="S186" s="2"/>
      <c r="T186" s="3"/>
      <c r="U186" s="3"/>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row>
    <row r="187" spans="1:48" x14ac:dyDescent="0.35">
      <c r="A187" s="2"/>
      <c r="B187" s="2"/>
      <c r="C187" s="2"/>
      <c r="D187" s="2"/>
      <c r="E187" s="2"/>
      <c r="F187" s="2"/>
      <c r="G187" s="2"/>
      <c r="H187" s="2"/>
      <c r="I187" s="2"/>
      <c r="J187" s="2"/>
      <c r="K187" s="2"/>
      <c r="L187" s="2"/>
      <c r="M187" s="2"/>
      <c r="N187" s="2"/>
      <c r="O187" s="2"/>
      <c r="P187" s="2"/>
      <c r="Q187" s="2"/>
      <c r="R187" s="2"/>
      <c r="S187" s="2"/>
      <c r="T187" s="3"/>
      <c r="U187" s="3"/>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row>
    <row r="188" spans="1:48" x14ac:dyDescent="0.35">
      <c r="A188" s="2"/>
      <c r="B188" s="2"/>
      <c r="C188" s="2"/>
      <c r="D188" s="2"/>
      <c r="E188" s="2"/>
      <c r="F188" s="2"/>
      <c r="G188" s="2"/>
      <c r="H188" s="2"/>
      <c r="I188" s="2"/>
      <c r="J188" s="2"/>
      <c r="K188" s="2"/>
      <c r="L188" s="2"/>
      <c r="M188" s="2"/>
      <c r="N188" s="2"/>
      <c r="O188" s="2"/>
      <c r="P188" s="2"/>
      <c r="Q188" s="2"/>
      <c r="R188" s="2"/>
      <c r="S188" s="2"/>
      <c r="T188" s="3"/>
      <c r="U188" s="3"/>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row>
    <row r="189" spans="1:48" x14ac:dyDescent="0.35">
      <c r="A189" s="2"/>
      <c r="B189" s="2"/>
      <c r="C189" s="2"/>
      <c r="D189" s="2"/>
      <c r="E189" s="2"/>
      <c r="F189" s="2"/>
      <c r="G189" s="2"/>
      <c r="H189" s="2"/>
      <c r="I189" s="2"/>
      <c r="J189" s="2"/>
      <c r="K189" s="2"/>
      <c r="L189" s="2"/>
      <c r="M189" s="2"/>
      <c r="N189" s="2"/>
      <c r="O189" s="2"/>
      <c r="P189" s="2"/>
      <c r="Q189" s="2"/>
      <c r="R189" s="2"/>
      <c r="S189" s="2"/>
      <c r="T189" s="3"/>
      <c r="U189" s="3"/>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row>
    <row r="190" spans="1:48" x14ac:dyDescent="0.35">
      <c r="A190" s="2"/>
      <c r="B190" s="2"/>
      <c r="C190" s="2"/>
      <c r="D190" s="2"/>
      <c r="E190" s="2"/>
      <c r="F190" s="2"/>
      <c r="G190" s="2"/>
      <c r="H190" s="2"/>
      <c r="I190" s="2"/>
      <c r="J190" s="2"/>
      <c r="K190" s="2"/>
      <c r="L190" s="2"/>
      <c r="M190" s="2"/>
      <c r="N190" s="2"/>
      <c r="O190" s="2"/>
      <c r="P190" s="2"/>
      <c r="Q190" s="2"/>
      <c r="R190" s="2"/>
      <c r="S190" s="2"/>
      <c r="T190" s="3"/>
      <c r="U190" s="3"/>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row>
    <row r="191" spans="1:48" x14ac:dyDescent="0.35">
      <c r="A191" s="2"/>
      <c r="B191" s="2"/>
      <c r="C191" s="2"/>
      <c r="D191" s="2"/>
      <c r="E191" s="2"/>
      <c r="F191" s="2"/>
      <c r="G191" s="2"/>
      <c r="H191" s="2"/>
      <c r="I191" s="2"/>
      <c r="J191" s="2"/>
      <c r="K191" s="2"/>
      <c r="L191" s="2"/>
      <c r="M191" s="2"/>
      <c r="N191" s="2"/>
      <c r="O191" s="2"/>
      <c r="P191" s="2"/>
      <c r="Q191" s="2"/>
      <c r="R191" s="2"/>
      <c r="S191" s="2"/>
      <c r="T191" s="3"/>
      <c r="U191" s="3"/>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row>
    <row r="192" spans="1:48" x14ac:dyDescent="0.35">
      <c r="A192" s="2"/>
      <c r="B192" s="2"/>
      <c r="C192" s="2"/>
      <c r="D192" s="2"/>
      <c r="E192" s="2"/>
      <c r="F192" s="2"/>
      <c r="G192" s="2"/>
      <c r="H192" s="2"/>
      <c r="I192" s="2"/>
      <c r="J192" s="2"/>
      <c r="K192" s="2"/>
      <c r="L192" s="2"/>
      <c r="M192" s="2"/>
      <c r="N192" s="2"/>
      <c r="O192" s="2"/>
      <c r="P192" s="2"/>
      <c r="Q192" s="2"/>
      <c r="R192" s="2"/>
      <c r="S192" s="2"/>
      <c r="T192" s="3"/>
      <c r="U192" s="3"/>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row>
    <row r="193" spans="1:48" x14ac:dyDescent="0.35">
      <c r="A193" s="2"/>
      <c r="B193" s="2"/>
      <c r="C193" s="2"/>
      <c r="D193" s="2"/>
      <c r="E193" s="2"/>
      <c r="F193" s="2"/>
      <c r="G193" s="2"/>
      <c r="H193" s="2"/>
      <c r="I193" s="2"/>
      <c r="J193" s="2"/>
      <c r="K193" s="2"/>
      <c r="L193" s="2"/>
      <c r="M193" s="2"/>
      <c r="N193" s="2"/>
      <c r="O193" s="2"/>
      <c r="P193" s="2"/>
      <c r="Q193" s="2"/>
      <c r="R193" s="2"/>
      <c r="S193" s="2"/>
      <c r="T193" s="3"/>
      <c r="U193" s="3"/>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row>
    <row r="194" spans="1:48" x14ac:dyDescent="0.35">
      <c r="A194" s="2"/>
      <c r="B194" s="2"/>
      <c r="C194" s="2"/>
      <c r="D194" s="2"/>
      <c r="E194" s="2"/>
      <c r="F194" s="2"/>
      <c r="G194" s="2"/>
      <c r="H194" s="2"/>
      <c r="I194" s="2"/>
      <c r="J194" s="2"/>
      <c r="K194" s="2"/>
      <c r="L194" s="2"/>
      <c r="M194" s="2"/>
      <c r="N194" s="2"/>
      <c r="O194" s="2"/>
      <c r="P194" s="2"/>
      <c r="Q194" s="2"/>
      <c r="R194" s="2"/>
      <c r="S194" s="2"/>
      <c r="T194" s="3"/>
      <c r="U194" s="3"/>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row>
    <row r="195" spans="1:48" x14ac:dyDescent="0.35">
      <c r="A195" s="2"/>
      <c r="B195" s="2"/>
      <c r="C195" s="2"/>
      <c r="D195" s="2"/>
      <c r="E195" s="2"/>
      <c r="F195" s="2"/>
      <c r="G195" s="2"/>
      <c r="H195" s="2"/>
      <c r="I195" s="2"/>
      <c r="J195" s="2"/>
      <c r="K195" s="2"/>
      <c r="L195" s="2"/>
      <c r="M195" s="2"/>
      <c r="N195" s="2"/>
      <c r="O195" s="2"/>
      <c r="P195" s="2"/>
      <c r="Q195" s="2"/>
      <c r="R195" s="2"/>
      <c r="S195" s="2"/>
      <c r="T195" s="3"/>
      <c r="U195" s="3"/>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row>
    <row r="196" spans="1:48" x14ac:dyDescent="0.35">
      <c r="A196" s="2"/>
      <c r="B196" s="2"/>
      <c r="C196" s="2"/>
      <c r="D196" s="2"/>
      <c r="E196" s="2"/>
      <c r="F196" s="2"/>
      <c r="G196" s="2"/>
      <c r="H196" s="2"/>
      <c r="I196" s="2"/>
      <c r="J196" s="2"/>
      <c r="K196" s="2"/>
      <c r="L196" s="2"/>
      <c r="M196" s="2"/>
      <c r="N196" s="2"/>
      <c r="O196" s="2"/>
      <c r="P196" s="2"/>
      <c r="Q196" s="2"/>
      <c r="R196" s="2"/>
      <c r="S196" s="2"/>
      <c r="T196" s="3"/>
      <c r="U196" s="3"/>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row>
    <row r="197" spans="1:48" x14ac:dyDescent="0.35">
      <c r="A197" s="2"/>
      <c r="B197" s="2"/>
      <c r="C197" s="2"/>
      <c r="D197" s="2"/>
      <c r="E197" s="2"/>
      <c r="F197" s="2"/>
      <c r="G197" s="2"/>
      <c r="H197" s="2"/>
      <c r="I197" s="2"/>
      <c r="J197" s="2"/>
      <c r="K197" s="2"/>
      <c r="L197" s="2"/>
      <c r="M197" s="2"/>
      <c r="N197" s="2"/>
      <c r="O197" s="2"/>
      <c r="P197" s="2"/>
      <c r="Q197" s="2"/>
      <c r="R197" s="2"/>
      <c r="S197" s="2"/>
      <c r="T197" s="3"/>
      <c r="U197" s="3"/>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row>
    <row r="198" spans="1:48" x14ac:dyDescent="0.35">
      <c r="A198" s="2"/>
      <c r="B198" s="2"/>
      <c r="C198" s="2"/>
      <c r="D198" s="2"/>
      <c r="E198" s="2"/>
      <c r="F198" s="2"/>
      <c r="G198" s="2"/>
      <c r="H198" s="2"/>
      <c r="I198" s="2"/>
      <c r="J198" s="2"/>
      <c r="K198" s="2"/>
      <c r="L198" s="2"/>
      <c r="M198" s="2"/>
      <c r="N198" s="2"/>
      <c r="O198" s="2"/>
      <c r="P198" s="2"/>
      <c r="Q198" s="2"/>
      <c r="R198" s="2"/>
      <c r="S198" s="2"/>
      <c r="T198" s="3"/>
      <c r="U198" s="3"/>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row>
    <row r="199" spans="1:48" x14ac:dyDescent="0.35">
      <c r="A199" s="2"/>
      <c r="B199" s="2"/>
      <c r="C199" s="2"/>
      <c r="D199" s="2"/>
      <c r="E199" s="2"/>
      <c r="F199" s="2"/>
      <c r="G199" s="2"/>
      <c r="H199" s="2"/>
      <c r="I199" s="2"/>
      <c r="J199" s="2"/>
      <c r="K199" s="2"/>
      <c r="L199" s="2"/>
      <c r="M199" s="2"/>
      <c r="N199" s="2"/>
      <c r="O199" s="2"/>
      <c r="P199" s="2"/>
      <c r="Q199" s="2"/>
      <c r="R199" s="2"/>
      <c r="S199" s="3"/>
      <c r="T199" s="3"/>
      <c r="U199" s="3"/>
      <c r="V199" s="3"/>
      <c r="W199" s="3"/>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row>
    <row r="200" spans="1:48" x14ac:dyDescent="0.35">
      <c r="A200" s="2"/>
      <c r="B200" s="2"/>
      <c r="C200" s="2"/>
      <c r="D200" s="2"/>
      <c r="E200" s="2"/>
      <c r="F200" s="2"/>
      <c r="G200" s="2"/>
      <c r="H200" s="2"/>
      <c r="I200" s="2"/>
      <c r="J200" s="2"/>
      <c r="K200" s="2"/>
      <c r="L200" s="2"/>
      <c r="M200" s="2"/>
      <c r="N200" s="2"/>
      <c r="O200" s="2"/>
      <c r="P200" s="2"/>
      <c r="Q200" s="2"/>
      <c r="R200" s="2"/>
      <c r="S200" s="3"/>
      <c r="T200" s="3"/>
      <c r="U200" s="3"/>
      <c r="V200" s="3"/>
      <c r="W200" s="3"/>
      <c r="X200" s="2"/>
      <c r="Y200" s="2"/>
      <c r="Z200" s="2"/>
      <c r="AA200" s="2"/>
      <c r="AB200" s="2"/>
      <c r="AC200" s="2"/>
      <c r="AD200" s="2"/>
      <c r="AE200" s="2"/>
      <c r="AF200" s="2"/>
      <c r="AG200" s="2"/>
      <c r="AH200" s="2"/>
      <c r="AI200" s="3"/>
      <c r="AJ200" s="3"/>
      <c r="AK200" s="3"/>
      <c r="AL200" s="3"/>
      <c r="AM200" s="3"/>
      <c r="AN200" s="3"/>
      <c r="AO200" s="3"/>
      <c r="AP200" s="3"/>
      <c r="AQ200" s="3"/>
      <c r="AR200" s="3"/>
      <c r="AS200" s="3"/>
      <c r="AT200" s="3"/>
      <c r="AU200" s="3"/>
      <c r="AV200" s="3"/>
    </row>
    <row r="201" spans="1:48" x14ac:dyDescent="0.35">
      <c r="A201" s="2"/>
      <c r="B201" s="2"/>
      <c r="C201" s="2"/>
      <c r="D201" s="2"/>
      <c r="E201" s="2"/>
      <c r="F201" s="2"/>
      <c r="G201" s="2"/>
      <c r="H201" s="2"/>
      <c r="I201" s="2"/>
      <c r="J201" s="2"/>
      <c r="K201" s="2"/>
      <c r="L201" s="2"/>
      <c r="M201" s="2"/>
      <c r="N201" s="2"/>
      <c r="O201" s="2"/>
      <c r="P201" s="2"/>
      <c r="Q201" s="2"/>
      <c r="R201" s="2"/>
      <c r="S201" s="3"/>
      <c r="T201" s="3"/>
      <c r="U201" s="3"/>
      <c r="V201" s="3"/>
      <c r="W201" s="3"/>
      <c r="X201" s="2"/>
      <c r="Y201" s="2"/>
      <c r="Z201" s="2"/>
      <c r="AA201" s="2"/>
      <c r="AB201" s="2"/>
      <c r="AC201" s="2"/>
      <c r="AD201" s="2"/>
      <c r="AE201" s="2"/>
      <c r="AF201" s="2"/>
      <c r="AG201" s="2"/>
      <c r="AH201" s="2"/>
      <c r="AI201" s="3"/>
      <c r="AJ201" s="3"/>
      <c r="AK201" s="3"/>
      <c r="AL201" s="3"/>
      <c r="AM201" s="3"/>
      <c r="AN201" s="3"/>
      <c r="AO201" s="3"/>
      <c r="AP201" s="3"/>
      <c r="AQ201" s="3"/>
      <c r="AR201" s="3"/>
      <c r="AS201" s="3"/>
      <c r="AT201" s="3"/>
      <c r="AU201" s="3"/>
      <c r="AV201" s="3"/>
    </row>
    <row r="202" spans="1:48" x14ac:dyDescent="0.35">
      <c r="A202" s="2"/>
      <c r="B202" s="2"/>
      <c r="C202" s="3"/>
      <c r="D202" s="3"/>
      <c r="E202" s="3"/>
      <c r="F202" s="3"/>
      <c r="G202" s="3"/>
      <c r="H202" s="3"/>
      <c r="I202" s="3"/>
      <c r="J202" s="3"/>
      <c r="K202" s="3"/>
      <c r="L202" s="3"/>
      <c r="M202" s="3"/>
      <c r="N202" s="3"/>
      <c r="O202" s="3"/>
      <c r="P202" s="3"/>
      <c r="Q202" s="3"/>
      <c r="R202" s="3"/>
      <c r="S202" s="3"/>
      <c r="T202" s="3"/>
      <c r="U202" s="3"/>
      <c r="V202" s="3"/>
      <c r="W202" s="3"/>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row>
    <row r="203" spans="1:48" x14ac:dyDescent="0.35">
      <c r="A203" s="2"/>
      <c r="B203" s="2"/>
      <c r="C203" s="3"/>
      <c r="D203" s="3"/>
      <c r="E203" s="3"/>
      <c r="F203" s="3"/>
      <c r="G203" s="3"/>
      <c r="H203" s="3"/>
      <c r="I203" s="3"/>
      <c r="J203" s="3"/>
      <c r="K203" s="3"/>
      <c r="L203" s="3"/>
      <c r="M203" s="3"/>
      <c r="N203" s="3"/>
      <c r="O203" s="3"/>
      <c r="P203" s="3"/>
      <c r="Q203" s="3"/>
      <c r="R203" s="3"/>
      <c r="S203" s="3"/>
      <c r="T203" s="3"/>
      <c r="U203" s="3"/>
      <c r="V203" s="3"/>
      <c r="W203" s="3"/>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row>
  </sheetData>
  <mergeCells count="7">
    <mergeCell ref="A1:E1"/>
    <mergeCell ref="A126:B126"/>
    <mergeCell ref="AM52:AO52"/>
    <mergeCell ref="A3:A5"/>
    <mergeCell ref="B3:B5"/>
    <mergeCell ref="A17:B17"/>
    <mergeCell ref="D6:E6"/>
  </mergeCells>
  <phoneticPr fontId="31" type="noConversion"/>
  <hyperlinks>
    <hyperlink ref="A134" location="_ftn1" display="_ftn1" xr:uid="{A5140156-4E53-483F-91D8-09047F5270FC}"/>
    <hyperlink ref="A143" location="_ftnref1" display="_ftnref1" xr:uid="{31D8EFF5-0C2F-42F8-802F-0CE7ABED91F6}"/>
  </hyperlink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B7F4-3222-4B3A-BCFB-E29B60061B12}">
  <dimension ref="C6:H37"/>
  <sheetViews>
    <sheetView showGridLines="0" topLeftCell="C17" workbookViewId="0">
      <selection activeCell="H21" sqref="H21"/>
    </sheetView>
  </sheetViews>
  <sheetFormatPr defaultRowHeight="14.5" x14ac:dyDescent="0.35"/>
  <cols>
    <col min="3" max="3" width="62.26953125" bestFit="1" customWidth="1"/>
    <col min="4" max="4" width="0" hidden="1" customWidth="1"/>
    <col min="5" max="5" width="17" customWidth="1"/>
    <col min="6" max="6" width="16.81640625" customWidth="1"/>
    <col min="7" max="8" width="15.7265625" customWidth="1"/>
  </cols>
  <sheetData>
    <row r="6" spans="3:8" ht="15.5" x14ac:dyDescent="0.35">
      <c r="C6" s="312" t="s">
        <v>117</v>
      </c>
      <c r="D6" s="265"/>
      <c r="E6" s="312" t="s">
        <v>118</v>
      </c>
      <c r="F6" s="312" t="s">
        <v>119</v>
      </c>
      <c r="G6" s="312" t="s">
        <v>120</v>
      </c>
      <c r="H6" s="312" t="s">
        <v>121</v>
      </c>
    </row>
    <row r="7" spans="3:8" ht="15.5" x14ac:dyDescent="0.35">
      <c r="C7" s="312"/>
      <c r="D7" s="265"/>
      <c r="E7" s="312"/>
      <c r="F7" s="312"/>
      <c r="G7" s="312"/>
      <c r="H7" s="312"/>
    </row>
    <row r="8" spans="3:8" ht="18" x14ac:dyDescent="0.5">
      <c r="C8" s="266" t="s">
        <v>122</v>
      </c>
      <c r="D8" s="267"/>
      <c r="E8" s="268"/>
      <c r="F8" s="268"/>
      <c r="G8" s="268"/>
      <c r="H8" s="268"/>
    </row>
    <row r="9" spans="3:8" ht="16.5" x14ac:dyDescent="0.45">
      <c r="C9" s="269" t="s">
        <v>123</v>
      </c>
      <c r="D9" s="270"/>
      <c r="E9" s="271">
        <f>'Updated Multi-Year Budget'!C23</f>
        <v>12644832</v>
      </c>
      <c r="F9" s="271" t="s">
        <v>136</v>
      </c>
      <c r="G9" s="272" t="s">
        <v>136</v>
      </c>
      <c r="H9" s="273" t="s">
        <v>136</v>
      </c>
    </row>
    <row r="10" spans="3:8" ht="16.5" x14ac:dyDescent="0.45">
      <c r="C10" s="269" t="s">
        <v>137</v>
      </c>
      <c r="D10" s="270"/>
      <c r="E10" s="271">
        <f>E9</f>
        <v>12644832</v>
      </c>
      <c r="F10" s="271" t="str">
        <f>F9</f>
        <v>N/A</v>
      </c>
      <c r="G10" s="274" t="str">
        <f>G9</f>
        <v>N/A</v>
      </c>
      <c r="H10" s="273" t="str">
        <f>H9</f>
        <v>N/A</v>
      </c>
    </row>
    <row r="11" spans="3:8" ht="16.5" x14ac:dyDescent="0.45">
      <c r="C11" s="266"/>
      <c r="D11" s="275"/>
      <c r="E11" s="276"/>
      <c r="F11" s="276"/>
      <c r="G11" s="276"/>
      <c r="H11" s="276"/>
    </row>
    <row r="12" spans="3:8" ht="16.5" x14ac:dyDescent="0.45">
      <c r="C12" s="269"/>
      <c r="D12" s="270"/>
      <c r="E12" s="271"/>
      <c r="F12" s="271"/>
      <c r="G12" s="272"/>
      <c r="H12" s="273"/>
    </row>
    <row r="13" spans="3:8" ht="16.5" x14ac:dyDescent="0.45">
      <c r="C13" s="269"/>
      <c r="D13" s="270"/>
      <c r="E13" s="271"/>
      <c r="F13" s="271"/>
      <c r="G13" s="272"/>
      <c r="H13" s="273"/>
    </row>
    <row r="14" spans="3:8" ht="15.5" x14ac:dyDescent="0.35">
      <c r="C14" s="292"/>
      <c r="D14" s="292"/>
      <c r="E14" s="292"/>
      <c r="F14" s="292"/>
      <c r="G14" s="292"/>
      <c r="H14" s="292"/>
    </row>
    <row r="15" spans="3:8" ht="15.5" x14ac:dyDescent="0.35">
      <c r="C15" s="292"/>
      <c r="D15" s="292"/>
      <c r="E15" s="292"/>
      <c r="F15" s="292"/>
      <c r="G15" s="292"/>
      <c r="H15" s="292"/>
    </row>
    <row r="16" spans="3:8" ht="15.5" x14ac:dyDescent="0.35">
      <c r="C16" s="292"/>
      <c r="D16" s="292"/>
      <c r="E16" s="292"/>
      <c r="F16" s="292"/>
      <c r="G16" s="292"/>
      <c r="H16" s="292"/>
    </row>
    <row r="17" spans="3:8" ht="15.5" x14ac:dyDescent="0.35">
      <c r="C17" s="313" t="s">
        <v>124</v>
      </c>
      <c r="D17" s="277"/>
      <c r="E17" s="313" t="s">
        <v>125</v>
      </c>
      <c r="F17" s="313" t="s">
        <v>126</v>
      </c>
      <c r="G17" s="313" t="s">
        <v>127</v>
      </c>
      <c r="H17" s="278" t="s">
        <v>128</v>
      </c>
    </row>
    <row r="18" spans="3:8" ht="15.5" x14ac:dyDescent="0.35">
      <c r="C18" s="313"/>
      <c r="D18" s="277"/>
      <c r="E18" s="313"/>
      <c r="F18" s="313"/>
      <c r="G18" s="313"/>
      <c r="H18" s="279" t="s">
        <v>129</v>
      </c>
    </row>
    <row r="19" spans="3:8" ht="15.5" x14ac:dyDescent="0.35">
      <c r="C19" s="313"/>
      <c r="D19" s="277"/>
      <c r="E19" s="313"/>
      <c r="F19" s="313"/>
      <c r="G19" s="313"/>
      <c r="H19" s="280" t="s">
        <v>130</v>
      </c>
    </row>
    <row r="20" spans="3:8" ht="18.5" thickBot="1" x14ac:dyDescent="0.55000000000000004">
      <c r="C20" s="266" t="s">
        <v>131</v>
      </c>
      <c r="D20" s="267"/>
      <c r="E20" s="268"/>
      <c r="F20" s="268"/>
      <c r="G20" s="268"/>
      <c r="H20" s="281"/>
    </row>
    <row r="21" spans="3:8" ht="17" thickBot="1" x14ac:dyDescent="0.5">
      <c r="C21" s="269" t="s">
        <v>132</v>
      </c>
      <c r="D21" s="270"/>
      <c r="E21" s="271">
        <v>15691.615999999998</v>
      </c>
      <c r="F21" s="271" t="e">
        <f>#REF!</f>
        <v>#REF!</v>
      </c>
      <c r="G21" s="271" t="e">
        <f>($C$14*-1)*#REF!</f>
        <v>#REF!</v>
      </c>
      <c r="H21" s="282" t="e">
        <f>(F21-G21)/G21</f>
        <v>#REF!</v>
      </c>
    </row>
    <row r="22" spans="3:8" ht="17" thickBot="1" x14ac:dyDescent="0.5">
      <c r="C22" s="269" t="s">
        <v>133</v>
      </c>
      <c r="D22" s="270"/>
      <c r="E22" s="271" t="e">
        <f>#REF!</f>
        <v>#REF!</v>
      </c>
      <c r="F22" s="271" t="e">
        <f>SUM(#REF!)</f>
        <v>#REF!</v>
      </c>
      <c r="G22" s="271" t="e">
        <f>#REF!</f>
        <v>#REF!</v>
      </c>
      <c r="H22" s="282" t="e">
        <f>(F22-G22)/G22</f>
        <v>#REF!</v>
      </c>
    </row>
    <row r="23" spans="3:8" ht="18.5" thickBot="1" x14ac:dyDescent="0.55000000000000004">
      <c r="C23" s="266" t="s">
        <v>134</v>
      </c>
      <c r="D23" s="267"/>
      <c r="E23" s="283"/>
      <c r="F23" s="283"/>
      <c r="G23" s="283"/>
      <c r="H23" s="284"/>
    </row>
    <row r="24" spans="3:8" ht="17" thickBot="1" x14ac:dyDescent="0.5">
      <c r="C24" s="269" t="s">
        <v>132</v>
      </c>
      <c r="D24" s="270"/>
      <c r="E24" s="285">
        <f t="shared" ref="E24:G25" si="0">E21</f>
        <v>15691.615999999998</v>
      </c>
      <c r="F24" s="271" t="e">
        <f t="shared" si="0"/>
        <v>#REF!</v>
      </c>
      <c r="G24" s="271" t="e">
        <f t="shared" si="0"/>
        <v>#REF!</v>
      </c>
      <c r="H24" s="282" t="e">
        <f>(F24-G24)/G24</f>
        <v>#REF!</v>
      </c>
    </row>
    <row r="25" spans="3:8" ht="17" thickBot="1" x14ac:dyDescent="0.5">
      <c r="C25" s="270" t="s">
        <v>133</v>
      </c>
      <c r="D25" s="270"/>
      <c r="E25" s="285" t="e">
        <f t="shared" si="0"/>
        <v>#REF!</v>
      </c>
      <c r="F25" s="271" t="e">
        <f t="shared" si="0"/>
        <v>#REF!</v>
      </c>
      <c r="G25" s="271" t="e">
        <f t="shared" si="0"/>
        <v>#REF!</v>
      </c>
      <c r="H25" s="282" t="e">
        <f>(F25-G25)/G25</f>
        <v>#REF!</v>
      </c>
    </row>
    <row r="26" spans="3:8" ht="15.5" x14ac:dyDescent="0.35">
      <c r="C26" s="292"/>
      <c r="D26" s="292"/>
      <c r="E26" s="292"/>
      <c r="F26" s="292"/>
      <c r="G26" s="292"/>
      <c r="H26" s="292"/>
    </row>
    <row r="27" spans="3:8" ht="15.5" x14ac:dyDescent="0.35">
      <c r="C27" s="292"/>
      <c r="D27" s="292"/>
      <c r="E27" s="292"/>
      <c r="F27" s="292"/>
      <c r="G27" s="292"/>
      <c r="H27" s="292"/>
    </row>
    <row r="28" spans="3:8" ht="15.5" x14ac:dyDescent="0.35">
      <c r="C28" s="292"/>
      <c r="D28" s="292"/>
      <c r="E28" s="292"/>
      <c r="F28" s="292"/>
      <c r="G28" s="292"/>
      <c r="H28" s="292"/>
    </row>
    <row r="29" spans="3:8" ht="18" x14ac:dyDescent="0.35">
      <c r="C29" s="264" t="s">
        <v>38</v>
      </c>
      <c r="D29" s="312" t="s">
        <v>139</v>
      </c>
      <c r="E29" s="312"/>
      <c r="F29" s="292"/>
      <c r="G29" s="292"/>
      <c r="H29" s="292"/>
    </row>
    <row r="30" spans="3:8" ht="15.5" x14ac:dyDescent="0.35">
      <c r="C30" s="283" t="s">
        <v>40</v>
      </c>
      <c r="D30" s="286" t="s">
        <v>2</v>
      </c>
      <c r="E30" s="286" t="s">
        <v>140</v>
      </c>
      <c r="F30" s="292"/>
      <c r="G30" s="292"/>
      <c r="H30" s="292"/>
    </row>
    <row r="31" spans="3:8" ht="15.5" x14ac:dyDescent="0.35">
      <c r="C31" s="287" t="s">
        <v>41</v>
      </c>
      <c r="D31" s="288" t="e">
        <f>SUM(#REF!)</f>
        <v>#REF!</v>
      </c>
      <c r="E31" s="293">
        <f>SUM('Updated Multi-Year Budget'!C51:V51)</f>
        <v>6032271.4471740015</v>
      </c>
      <c r="F31" s="292"/>
      <c r="G31" s="292"/>
      <c r="H31" s="292"/>
    </row>
    <row r="32" spans="3:8" ht="15.5" x14ac:dyDescent="0.35">
      <c r="C32" s="289" t="s">
        <v>135</v>
      </c>
      <c r="D32" s="290" t="e">
        <f>SUM(D31)</f>
        <v>#REF!</v>
      </c>
      <c r="E32" s="290">
        <f>SUM(E31)</f>
        <v>6032271.4471740015</v>
      </c>
      <c r="F32" s="292"/>
      <c r="G32" s="292"/>
      <c r="H32" s="292"/>
    </row>
    <row r="33" spans="3:8" ht="15.5" x14ac:dyDescent="0.35">
      <c r="C33" s="283" t="s">
        <v>47</v>
      </c>
      <c r="D33" s="286" t="s">
        <v>2</v>
      </c>
      <c r="E33" s="286" t="s">
        <v>140</v>
      </c>
      <c r="F33" s="292"/>
      <c r="G33" s="292"/>
      <c r="H33" s="292"/>
    </row>
    <row r="34" spans="3:8" ht="15.5" x14ac:dyDescent="0.35">
      <c r="C34" s="287" t="s">
        <v>105</v>
      </c>
      <c r="D34" s="291" t="e">
        <f>SUM(#REF!)</f>
        <v>#REF!</v>
      </c>
      <c r="E34" s="293">
        <f>SUM('Updated Multi-Year Budget'!C57:V57)</f>
        <v>189113.57235869992</v>
      </c>
      <c r="F34" s="292"/>
      <c r="G34" s="292"/>
      <c r="H34" s="292"/>
    </row>
    <row r="35" spans="3:8" ht="15.5" x14ac:dyDescent="0.35">
      <c r="C35" s="287" t="s">
        <v>113</v>
      </c>
      <c r="D35" s="291" t="e">
        <f>SUM(#REF!)-1</f>
        <v>#REF!</v>
      </c>
      <c r="E35" s="291">
        <f>SUM('Updated Multi-Year Budget'!C59:V59)</f>
        <v>2250000</v>
      </c>
      <c r="F35" s="292"/>
      <c r="G35" s="292"/>
      <c r="H35" s="292"/>
    </row>
    <row r="36" spans="3:8" ht="15.5" x14ac:dyDescent="0.35">
      <c r="C36" s="287" t="s">
        <v>138</v>
      </c>
      <c r="D36" s="291"/>
      <c r="E36" s="291">
        <f>SUM('Updated Multi-Year Budget'!C60:V60)</f>
        <v>3593157.8748152996</v>
      </c>
      <c r="F36" s="292"/>
      <c r="G36" s="292"/>
      <c r="H36" s="292"/>
    </row>
    <row r="37" spans="3:8" ht="15.5" x14ac:dyDescent="0.35">
      <c r="C37" s="289" t="s">
        <v>51</v>
      </c>
      <c r="D37" s="290" t="e">
        <f>SUM(D34:D35)</f>
        <v>#REF!</v>
      </c>
      <c r="E37" s="294">
        <f>SUM(E34:E36)</f>
        <v>6032271.4471739996</v>
      </c>
      <c r="F37" s="292"/>
      <c r="G37" s="292"/>
      <c r="H37" s="292"/>
    </row>
  </sheetData>
  <mergeCells count="10">
    <mergeCell ref="H6:H7"/>
    <mergeCell ref="C17:C19"/>
    <mergeCell ref="E17:E19"/>
    <mergeCell ref="F17:F19"/>
    <mergeCell ref="G17:G19"/>
    <mergeCell ref="D29:E29"/>
    <mergeCell ref="C6:C7"/>
    <mergeCell ref="E6:E7"/>
    <mergeCell ref="F6:F7"/>
    <mergeCell ref="G6: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23C09-2292-4148-B861-452B234A7E16}">
  <dimension ref="A1:N54"/>
  <sheetViews>
    <sheetView showGridLines="0" topLeftCell="A3" zoomScale="63" zoomScaleNormal="63" workbookViewId="0">
      <selection activeCell="L1" sqref="L1:N52"/>
    </sheetView>
  </sheetViews>
  <sheetFormatPr defaultRowHeight="14.5" x14ac:dyDescent="0.35"/>
  <cols>
    <col min="1" max="1" width="65.453125" customWidth="1"/>
    <col min="2" max="2" width="20.1796875" customWidth="1"/>
    <col min="3" max="3" width="24.453125" customWidth="1"/>
    <col min="4" max="4" width="12" customWidth="1"/>
    <col min="8" max="8" width="65.453125" customWidth="1"/>
    <col min="9" max="9" width="21.1796875" customWidth="1"/>
    <col min="10" max="10" width="24.26953125" customWidth="1"/>
    <col min="12" max="12" width="65.453125" customWidth="1"/>
    <col min="13" max="13" width="21.1796875" customWidth="1"/>
    <col min="14" max="14" width="24.453125" customWidth="1"/>
  </cols>
  <sheetData>
    <row r="1" spans="1:14" ht="37" x14ac:dyDescent="1">
      <c r="A1" s="204" t="s">
        <v>104</v>
      </c>
      <c r="B1" s="202"/>
      <c r="C1" s="100"/>
      <c r="D1" s="2"/>
      <c r="E1" s="2"/>
      <c r="H1" s="204" t="s">
        <v>104</v>
      </c>
      <c r="I1" s="202"/>
      <c r="J1" s="100"/>
      <c r="L1" s="204" t="s">
        <v>104</v>
      </c>
      <c r="M1" s="202"/>
      <c r="N1" s="100"/>
    </row>
    <row r="2" spans="1:14" ht="24" x14ac:dyDescent="0.7">
      <c r="A2" s="203" t="str">
        <f>C6&amp;" Annual Budget"</f>
        <v>2025 Annual Budget</v>
      </c>
      <c r="B2" s="203"/>
      <c r="C2" s="99"/>
      <c r="D2" s="2"/>
      <c r="E2" s="2"/>
      <c r="H2" s="203" t="str">
        <f>J6&amp;" Annual Budget"</f>
        <v>2026 Annual Budget</v>
      </c>
      <c r="I2" s="203"/>
      <c r="J2" s="99"/>
      <c r="L2" s="203" t="str">
        <f>N6&amp;" Annual Budget"</f>
        <v>2027 Annual Budget</v>
      </c>
      <c r="M2" s="203"/>
      <c r="N2" s="99"/>
    </row>
    <row r="3" spans="1:14" ht="20.5" customHeight="1" x14ac:dyDescent="0.35">
      <c r="A3" s="308" t="e" vm="1">
        <v>#VALUE!</v>
      </c>
      <c r="B3" s="143"/>
      <c r="C3" s="101"/>
      <c r="D3" s="2"/>
      <c r="E3" s="2"/>
      <c r="H3" s="308" t="e" vm="1">
        <v>#VALUE!</v>
      </c>
      <c r="I3" s="143"/>
      <c r="J3" s="101"/>
      <c r="L3" s="308" t="e" vm="1">
        <v>#VALUE!</v>
      </c>
      <c r="M3" s="143"/>
      <c r="N3" s="101"/>
    </row>
    <row r="4" spans="1:14" ht="20.5" customHeight="1" x14ac:dyDescent="0.35">
      <c r="A4" s="314"/>
      <c r="B4" s="149" t="s">
        <v>101</v>
      </c>
      <c r="C4" s="150">
        <f>LOOKUP(C5,'Updated Multi-Year Budget'!C8:V8,'Updated Multi-Year Budget'!C73:V73)</f>
        <v>1</v>
      </c>
      <c r="D4" s="2"/>
      <c r="E4" s="2"/>
      <c r="H4" s="314"/>
      <c r="I4" s="149" t="s">
        <v>101</v>
      </c>
      <c r="J4" s="150">
        <v>2</v>
      </c>
      <c r="L4" s="314"/>
      <c r="M4" s="149" t="s">
        <v>101</v>
      </c>
      <c r="N4" s="150">
        <v>3</v>
      </c>
    </row>
    <row r="5" spans="1:14" ht="20.5" customHeight="1" x14ac:dyDescent="0.35">
      <c r="A5" s="314"/>
      <c r="B5" s="149" t="s">
        <v>1</v>
      </c>
      <c r="C5" s="150">
        <v>2024</v>
      </c>
      <c r="D5" s="2"/>
      <c r="E5" s="2"/>
      <c r="H5" s="314"/>
      <c r="I5" s="149" t="s">
        <v>1</v>
      </c>
      <c r="J5" s="150">
        <v>2025</v>
      </c>
      <c r="L5" s="314"/>
      <c r="M5" s="149" t="s">
        <v>1</v>
      </c>
      <c r="N5" s="150">
        <v>2026</v>
      </c>
    </row>
    <row r="6" spans="1:14" ht="20.5" customHeight="1" thickBot="1" x14ac:dyDescent="0.6">
      <c r="A6" s="102"/>
      <c r="B6" s="149" t="s">
        <v>3</v>
      </c>
      <c r="C6" s="151">
        <f>LOOKUP(C5,'Updated Multi-Year Budget'!C8:V8,'Updated Multi-Year Budget'!C9:V9)</f>
        <v>2025</v>
      </c>
      <c r="D6" s="2"/>
      <c r="E6" s="2"/>
      <c r="H6" s="102"/>
      <c r="I6" s="149" t="s">
        <v>3</v>
      </c>
      <c r="J6" s="151">
        <v>2026</v>
      </c>
      <c r="L6" s="102"/>
      <c r="M6" s="149" t="s">
        <v>3</v>
      </c>
      <c r="N6" s="151">
        <v>2027</v>
      </c>
    </row>
    <row r="7" spans="1:14" x14ac:dyDescent="0.35">
      <c r="A7" s="152" t="s">
        <v>40</v>
      </c>
      <c r="B7" s="181"/>
      <c r="C7" s="181"/>
      <c r="D7" s="2"/>
      <c r="E7" s="2"/>
      <c r="H7" s="152" t="s">
        <v>40</v>
      </c>
      <c r="I7" s="181"/>
      <c r="J7" s="181"/>
      <c r="L7" s="152" t="s">
        <v>40</v>
      </c>
      <c r="M7" s="181"/>
      <c r="N7" s="181"/>
    </row>
    <row r="8" spans="1:14" s="35" customFormat="1" ht="18" customHeight="1" collapsed="1" x14ac:dyDescent="0.3">
      <c r="A8" s="205" t="s">
        <v>5</v>
      </c>
      <c r="B8" s="156"/>
      <c r="C8" s="156"/>
      <c r="H8" s="205" t="s">
        <v>5</v>
      </c>
      <c r="I8" s="156"/>
      <c r="J8" s="156"/>
      <c r="L8" s="205" t="s">
        <v>5</v>
      </c>
      <c r="M8" s="156"/>
      <c r="N8" s="156"/>
    </row>
    <row r="9" spans="1:14" s="35" customFormat="1" ht="15" customHeight="1" x14ac:dyDescent="0.3">
      <c r="A9" s="158" t="s">
        <v>56</v>
      </c>
      <c r="B9" s="195"/>
      <c r="C9" s="195">
        <f>'Updated Multi-Year Budget'!C14</f>
        <v>12506715</v>
      </c>
      <c r="H9" s="158" t="s">
        <v>56</v>
      </c>
      <c r="I9" s="195"/>
      <c r="J9" s="195">
        <f>'Updated Multi-Year Budget'!D14</f>
        <v>19825000</v>
      </c>
      <c r="L9" s="158" t="s">
        <v>56</v>
      </c>
      <c r="M9" s="195"/>
      <c r="N9" s="195">
        <f>'Updated Multi-Year Budget'!E14</f>
        <v>27450000</v>
      </c>
    </row>
    <row r="10" spans="1:14" x14ac:dyDescent="0.35">
      <c r="A10" s="158" t="s">
        <v>6</v>
      </c>
      <c r="B10" s="196"/>
      <c r="C10" s="196">
        <f>LOOKUP($C$5,'Updated Multi-Year Budget'!$C$8:$V$8,'Updated Multi-Year Budget'!C15:V15)</f>
        <v>0</v>
      </c>
      <c r="D10" s="15"/>
      <c r="E10" s="2"/>
      <c r="H10" s="158" t="s">
        <v>6</v>
      </c>
      <c r="I10" s="196"/>
      <c r="J10" s="196">
        <f>LOOKUP($C$5,'Updated Multi-Year Budget'!$C$8:$V$8,'Updated Multi-Year Budget'!J15:AC15)</f>
        <v>0</v>
      </c>
      <c r="L10" s="158" t="s">
        <v>6</v>
      </c>
      <c r="M10" s="196"/>
      <c r="N10" s="196">
        <f>LOOKUP($C$5,'Updated Multi-Year Budget'!$C$8:$V$8,'Updated Multi-Year Budget'!N15:AG15)</f>
        <v>0</v>
      </c>
    </row>
    <row r="11" spans="1:14" x14ac:dyDescent="0.35">
      <c r="A11" s="158" t="s">
        <v>7</v>
      </c>
      <c r="B11" s="197"/>
      <c r="C11" s="197">
        <f>'Updated Multi-Year Budget'!C16</f>
        <v>138117</v>
      </c>
      <c r="D11" s="15"/>
      <c r="E11" s="2"/>
      <c r="H11" s="158" t="s">
        <v>7</v>
      </c>
      <c r="I11" s="197"/>
      <c r="J11" s="197">
        <f>'Updated Multi-Year Budget'!C16</f>
        <v>138117</v>
      </c>
      <c r="L11" s="158" t="s">
        <v>7</v>
      </c>
      <c r="M11" s="197"/>
      <c r="N11" s="197">
        <f>'Updated Multi-Year Budget'!E16</f>
        <v>138117</v>
      </c>
    </row>
    <row r="12" spans="1:14" x14ac:dyDescent="0.35">
      <c r="A12" s="165" t="s">
        <v>8</v>
      </c>
      <c r="B12" s="182"/>
      <c r="C12" s="182">
        <f>LOOKUP($C$5,'Updated Multi-Year Budget'!$C$8:$V$8,'Updated Multi-Year Budget'!C17:V17)</f>
        <v>12644832</v>
      </c>
      <c r="D12" s="15"/>
      <c r="E12" s="2"/>
      <c r="H12" s="165" t="s">
        <v>8</v>
      </c>
      <c r="I12" s="182"/>
      <c r="J12" s="182">
        <f>SUM(J9:J11)</f>
        <v>19963117</v>
      </c>
      <c r="L12" s="165" t="s">
        <v>8</v>
      </c>
      <c r="M12" s="182"/>
      <c r="N12" s="182">
        <f>SUM(N9:N11)</f>
        <v>27588117</v>
      </c>
    </row>
    <row r="13" spans="1:14" x14ac:dyDescent="0.35">
      <c r="A13" s="158" t="s">
        <v>9</v>
      </c>
      <c r="B13" s="196"/>
      <c r="C13" s="196">
        <f>LOOKUP($C$5,'Updated Multi-Year Budget'!$C$8:$V$8,'Updated Multi-Year Budget'!C22:V22)</f>
        <v>0</v>
      </c>
      <c r="D13" s="15"/>
      <c r="E13" s="2"/>
      <c r="H13" s="158" t="s">
        <v>9</v>
      </c>
      <c r="I13" s="196"/>
      <c r="J13" s="196">
        <f>LOOKUP($C$5,'Updated Multi-Year Budget'!$C$8:$V$8,'Updated Multi-Year Budget'!J22:AC22)</f>
        <v>0</v>
      </c>
      <c r="L13" s="158" t="s">
        <v>9</v>
      </c>
      <c r="M13" s="196"/>
      <c r="N13" s="196">
        <f>LOOKUP($C$5,'Updated Multi-Year Budget'!$C$8:$V$8,'Updated Multi-Year Budget'!N22:AG22)</f>
        <v>0</v>
      </c>
    </row>
    <row r="14" spans="1:14" x14ac:dyDescent="0.35">
      <c r="A14" s="165" t="s">
        <v>10</v>
      </c>
      <c r="B14" s="182"/>
      <c r="C14" s="182">
        <f>C12-C13</f>
        <v>12644832</v>
      </c>
      <c r="D14" s="4"/>
      <c r="E14" s="2"/>
      <c r="H14" s="165" t="s">
        <v>10</v>
      </c>
      <c r="I14" s="182"/>
      <c r="J14" s="182">
        <f>J12-J13</f>
        <v>19963117</v>
      </c>
      <c r="L14" s="165" t="s">
        <v>10</v>
      </c>
      <c r="M14" s="182"/>
      <c r="N14" s="182">
        <f>N12-N13</f>
        <v>27588117</v>
      </c>
    </row>
    <row r="15" spans="1:14" x14ac:dyDescent="0.35">
      <c r="A15" s="205" t="s">
        <v>94</v>
      </c>
      <c r="B15" s="209"/>
      <c r="C15" s="209" t="s">
        <v>103</v>
      </c>
      <c r="D15" s="2"/>
      <c r="E15" s="2"/>
      <c r="H15" s="205" t="s">
        <v>94</v>
      </c>
      <c r="I15" s="209"/>
      <c r="J15" s="209" t="s">
        <v>103</v>
      </c>
      <c r="L15" s="205" t="s">
        <v>94</v>
      </c>
      <c r="M15" s="209"/>
      <c r="N15" s="209" t="s">
        <v>103</v>
      </c>
    </row>
    <row r="16" spans="1:14" x14ac:dyDescent="0.35">
      <c r="A16" s="158" t="str">
        <f>'Updated Multi-Year Budget'!A26</f>
        <v>Tooele County</v>
      </c>
      <c r="B16" s="295"/>
      <c r="C16" s="295">
        <f>LOOKUP($C$5,'Updated Multi-Year Budget'!$C$8:$V$8,'Updated Multi-Year Budget'!C26:V26)</f>
        <v>1.255E-3</v>
      </c>
      <c r="D16" s="2"/>
      <c r="E16" s="2"/>
      <c r="H16" s="158" t="s">
        <v>53</v>
      </c>
      <c r="I16" s="295"/>
      <c r="J16" s="295">
        <f>LOOKUP($C$5,'Updated Multi-Year Budget'!$C$8:$V$8,'Updated Multi-Year Budget'!J26:AC26)</f>
        <v>9.5100000000000002E-4</v>
      </c>
      <c r="L16" s="158" t="s">
        <v>53</v>
      </c>
      <c r="M16" s="295"/>
      <c r="N16" s="295">
        <f>LOOKUP($C$5,'Updated Multi-Year Budget'!$C$8:$V$8,'Updated Multi-Year Budget'!N26:AG26)</f>
        <v>9.5100000000000002E-4</v>
      </c>
    </row>
    <row r="17" spans="1:14" x14ac:dyDescent="0.35">
      <c r="A17" s="158" t="str">
        <f>'Updated Multi-Year Budget'!A27</f>
        <v>Tooele County School District</v>
      </c>
      <c r="B17" s="296"/>
      <c r="C17" s="296">
        <f>LOOKUP($C$5,'Updated Multi-Year Budget'!$C$8:$V$8,'Updated Multi-Year Budget'!C27:V27)</f>
        <v>8.9540000000000002E-3</v>
      </c>
      <c r="D17" s="2"/>
      <c r="E17" s="2"/>
      <c r="H17" s="158" t="s">
        <v>57</v>
      </c>
      <c r="I17" s="296"/>
      <c r="J17" s="296">
        <f>LOOKUP($C$5,'Updated Multi-Year Budget'!$C$8:$V$8,'Updated Multi-Year Budget'!J27:AC27)</f>
        <v>6.6779999999999999E-3</v>
      </c>
      <c r="L17" s="158" t="s">
        <v>57</v>
      </c>
      <c r="M17" s="296"/>
      <c r="N17" s="296">
        <f>LOOKUP($C$5,'Updated Multi-Year Budget'!$C$8:$V$8,'Updated Multi-Year Budget'!N27:AG27)</f>
        <v>6.6779999999999999E-3</v>
      </c>
    </row>
    <row r="18" spans="1:14" x14ac:dyDescent="0.35">
      <c r="A18" s="158" t="str">
        <f>'Updated Multi-Year Budget'!A28</f>
        <v>Tooele City</v>
      </c>
      <c r="B18" s="296"/>
      <c r="C18" s="296">
        <f>LOOKUP($C$5,'Updated Multi-Year Budget'!$C$8:$V$8,'Updated Multi-Year Budget'!C28:V28)</f>
        <v>2.5539999999999998E-3</v>
      </c>
      <c r="D18" s="2"/>
      <c r="E18" s="2"/>
      <c r="H18" s="158" t="s">
        <v>54</v>
      </c>
      <c r="I18" s="296"/>
      <c r="J18" s="296">
        <f>LOOKUP($C$5,'Updated Multi-Year Budget'!$C$8:$V$8,'Updated Multi-Year Budget'!J28:AC28)</f>
        <v>2.3010000000000001E-3</v>
      </c>
      <c r="L18" s="158" t="s">
        <v>54</v>
      </c>
      <c r="M18" s="296"/>
      <c r="N18" s="296">
        <f>LOOKUP($C$5,'Updated Multi-Year Budget'!$C$8:$V$8,'Updated Multi-Year Budget'!N28:AG28)</f>
        <v>2.3010000000000001E-3</v>
      </c>
    </row>
    <row r="19" spans="1:14" x14ac:dyDescent="0.35">
      <c r="A19" s="206" t="s">
        <v>11</v>
      </c>
      <c r="B19" s="253"/>
      <c r="C19" s="253">
        <f>C16+C18+C17</f>
        <v>1.2763E-2</v>
      </c>
      <c r="D19" s="2"/>
      <c r="E19" s="2"/>
      <c r="H19" s="206" t="s">
        <v>11</v>
      </c>
      <c r="I19" s="253"/>
      <c r="J19" s="253">
        <f>J16+J18+J17</f>
        <v>9.9299999999999996E-3</v>
      </c>
      <c r="L19" s="206" t="s">
        <v>11</v>
      </c>
      <c r="M19" s="253"/>
      <c r="N19" s="253">
        <f>N16+N18+N17</f>
        <v>9.9299999999999996E-3</v>
      </c>
    </row>
    <row r="20" spans="1:14" x14ac:dyDescent="0.35">
      <c r="A20" s="205" t="s">
        <v>12</v>
      </c>
      <c r="B20" s="156"/>
      <c r="C20" s="156"/>
      <c r="D20" s="21"/>
      <c r="E20" s="2"/>
      <c r="H20" s="205" t="s">
        <v>12</v>
      </c>
      <c r="I20" s="156"/>
      <c r="J20" s="298"/>
      <c r="L20" s="205" t="s">
        <v>12</v>
      </c>
      <c r="M20" s="156"/>
      <c r="N20" s="298"/>
    </row>
    <row r="21" spans="1:14" x14ac:dyDescent="0.35">
      <c r="A21" s="158" t="str">
        <f>A16</f>
        <v>Tooele County</v>
      </c>
      <c r="B21" s="195"/>
      <c r="C21" s="195">
        <f>'Updated Multi-Year Budget'!C32</f>
        <v>15869.264160000001</v>
      </c>
      <c r="D21" s="2"/>
      <c r="E21" s="2"/>
      <c r="H21" s="158" t="s">
        <v>53</v>
      </c>
      <c r="I21" s="223"/>
      <c r="J21" s="195">
        <f>'Updated Multi-Year Budget'!D32</f>
        <v>18984.924267000002</v>
      </c>
      <c r="L21" s="158" t="s">
        <v>53</v>
      </c>
      <c r="M21" s="223"/>
      <c r="N21" s="195">
        <f>'Updated Multi-Year Budget'!E32</f>
        <v>26236.299267000002</v>
      </c>
    </row>
    <row r="22" spans="1:14" x14ac:dyDescent="0.35">
      <c r="A22" s="158" t="str">
        <f>A17</f>
        <v>Tooele County School District</v>
      </c>
      <c r="B22" s="196"/>
      <c r="C22" s="196">
        <f>'Updated Multi-Year Budget'!C33</f>
        <v>113221.825728</v>
      </c>
      <c r="D22" s="2"/>
      <c r="E22" s="2"/>
      <c r="H22" s="158" t="s">
        <v>57</v>
      </c>
      <c r="I22" s="222"/>
      <c r="J22" s="300">
        <f>'Updated Multi-Year Budget'!D33</f>
        <v>133313.69532600002</v>
      </c>
      <c r="L22" s="158" t="s">
        <v>57</v>
      </c>
      <c r="M22" s="222"/>
      <c r="N22" s="300">
        <f>'Updated Multi-Year Budget'!E33</f>
        <v>184233.44532600002</v>
      </c>
    </row>
    <row r="23" spans="1:14" x14ac:dyDescent="0.35">
      <c r="A23" s="158" t="str">
        <f>A18</f>
        <v>Tooele City</v>
      </c>
      <c r="B23" s="196"/>
      <c r="C23" s="196">
        <f>'Updated Multi-Year Budget'!C34</f>
        <v>32294.900927999999</v>
      </c>
      <c r="D23" s="2"/>
      <c r="E23" s="2"/>
      <c r="H23" s="158" t="s">
        <v>54</v>
      </c>
      <c r="I23" s="222"/>
      <c r="J23" s="301">
        <f>'Updated Multi-Year Budget'!D34</f>
        <v>45935.132217000006</v>
      </c>
      <c r="L23" s="158" t="s">
        <v>54</v>
      </c>
      <c r="M23" s="222"/>
      <c r="N23" s="301">
        <f>'Updated Multi-Year Budget'!E34</f>
        <v>63480.257217000006</v>
      </c>
    </row>
    <row r="24" spans="1:14" x14ac:dyDescent="0.35">
      <c r="A24" s="206" t="s">
        <v>102</v>
      </c>
      <c r="B24" s="182"/>
      <c r="C24" s="182">
        <f>LOOKUP($C$5,'Updated Multi-Year Budget'!$C$8:$V$8,'Updated Multi-Year Budget'!C35:V35)</f>
        <v>161385.990816</v>
      </c>
      <c r="D24" s="2"/>
      <c r="E24" s="2"/>
      <c r="H24" s="206" t="s">
        <v>102</v>
      </c>
      <c r="I24" s="182"/>
      <c r="J24" s="299">
        <f>SUM(J21:J23)</f>
        <v>198233.75181000002</v>
      </c>
      <c r="L24" s="206" t="s">
        <v>102</v>
      </c>
      <c r="M24" s="182"/>
      <c r="N24" s="299">
        <f>SUM(N21:N23)</f>
        <v>273950.00181000005</v>
      </c>
    </row>
    <row r="25" spans="1:14" x14ac:dyDescent="0.35">
      <c r="A25" s="205" t="s">
        <v>95</v>
      </c>
      <c r="B25" s="156"/>
      <c r="C25" s="156"/>
      <c r="D25" s="2"/>
      <c r="E25" s="2"/>
      <c r="H25" s="205" t="s">
        <v>95</v>
      </c>
      <c r="I25" s="156"/>
      <c r="J25" s="156"/>
      <c r="L25" s="205" t="s">
        <v>95</v>
      </c>
      <c r="M25" s="156"/>
      <c r="N25" s="156"/>
    </row>
    <row r="26" spans="1:14" x14ac:dyDescent="0.35">
      <c r="A26" s="158" t="s">
        <v>53</v>
      </c>
      <c r="B26" s="198"/>
      <c r="C26" s="198">
        <f>'Updated Multi-Year Budget'!C38</f>
        <v>0.75</v>
      </c>
      <c r="D26" s="2"/>
      <c r="E26" s="2"/>
      <c r="H26" s="158" t="s">
        <v>53</v>
      </c>
      <c r="I26" s="198"/>
      <c r="J26" s="198">
        <f>'Updated Multi-Year Budget'!J38</f>
        <v>0.75</v>
      </c>
      <c r="L26" s="158" t="s">
        <v>53</v>
      </c>
      <c r="M26" s="198"/>
      <c r="N26" s="198">
        <f>'Updated Multi-Year Budget'!N38</f>
        <v>0.75</v>
      </c>
    </row>
    <row r="27" spans="1:14" x14ac:dyDescent="0.35">
      <c r="A27" s="158" t="s">
        <v>57</v>
      </c>
      <c r="B27" s="199"/>
      <c r="C27" s="199">
        <f>'Updated Multi-Year Budget'!C39</f>
        <v>0.5</v>
      </c>
      <c r="D27" s="2"/>
      <c r="E27" s="2"/>
      <c r="H27" s="158" t="s">
        <v>57</v>
      </c>
      <c r="I27" s="199"/>
      <c r="J27" s="199">
        <f>'Updated Multi-Year Budget'!J39</f>
        <v>0.5</v>
      </c>
      <c r="L27" s="158" t="s">
        <v>57</v>
      </c>
      <c r="M27" s="199"/>
      <c r="N27" s="199">
        <f>'Updated Multi-Year Budget'!N39</f>
        <v>0.5</v>
      </c>
    </row>
    <row r="28" spans="1:14" x14ac:dyDescent="0.35">
      <c r="A28" s="172" t="s">
        <v>54</v>
      </c>
      <c r="B28" s="200"/>
      <c r="C28" s="200">
        <f>'Updated Multi-Year Budget'!C40</f>
        <v>0.75</v>
      </c>
      <c r="D28" s="2"/>
      <c r="E28" s="2"/>
      <c r="H28" s="172" t="s">
        <v>54</v>
      </c>
      <c r="I28" s="200"/>
      <c r="J28" s="200">
        <f>'Updated Multi-Year Budget'!J40</f>
        <v>0.75</v>
      </c>
      <c r="L28" s="172" t="s">
        <v>54</v>
      </c>
      <c r="M28" s="200"/>
      <c r="N28" s="200">
        <f>'Updated Multi-Year Budget'!N40</f>
        <v>0.75</v>
      </c>
    </row>
    <row r="29" spans="1:14" ht="15" thickBot="1" x14ac:dyDescent="0.4">
      <c r="A29" s="242"/>
      <c r="B29" s="24"/>
      <c r="C29" s="241"/>
      <c r="D29" s="2"/>
      <c r="E29" s="2"/>
      <c r="H29" s="242"/>
      <c r="I29" s="24"/>
      <c r="J29" s="241"/>
      <c r="L29" s="242"/>
      <c r="M29" s="24"/>
      <c r="N29" s="241"/>
    </row>
    <row r="30" spans="1:14" x14ac:dyDescent="0.35">
      <c r="A30" s="205" t="s">
        <v>96</v>
      </c>
      <c r="B30" s="208"/>
      <c r="C30" s="156"/>
      <c r="D30" s="2"/>
      <c r="E30" s="2"/>
      <c r="H30" s="205" t="s">
        <v>96</v>
      </c>
      <c r="I30" s="208"/>
      <c r="J30" s="298"/>
      <c r="L30" s="205" t="s">
        <v>96</v>
      </c>
      <c r="M30" s="208"/>
      <c r="N30" s="298"/>
    </row>
    <row r="31" spans="1:14" x14ac:dyDescent="0.35">
      <c r="A31" s="158" t="str">
        <f>A21</f>
        <v>Tooele County</v>
      </c>
      <c r="B31" s="195"/>
      <c r="C31" s="195">
        <f>'Updated Multi-Year Budget'!C43</f>
        <v>11901.948120000001</v>
      </c>
      <c r="D31" s="2"/>
      <c r="E31" s="2"/>
      <c r="H31" s="158" t="str">
        <f>H21</f>
        <v>Tooele County</v>
      </c>
      <c r="I31" s="223"/>
      <c r="J31" s="195">
        <f>'Updated Multi-Year Budget'!C43</f>
        <v>11901.948120000001</v>
      </c>
      <c r="L31" s="158" t="str">
        <f>L21</f>
        <v>Tooele County</v>
      </c>
      <c r="M31" s="223"/>
      <c r="N31" s="195">
        <f>'Updated Multi-Year Budget'!E43</f>
        <v>19677.224450250003</v>
      </c>
    </row>
    <row r="32" spans="1:14" x14ac:dyDescent="0.35">
      <c r="A32" s="158" t="str">
        <f>A22</f>
        <v>Tooele County School District</v>
      </c>
      <c r="B32" s="196"/>
      <c r="C32" s="196">
        <f>'Updated Multi-Year Budget'!C44</f>
        <v>56610.912863999998</v>
      </c>
      <c r="D32" s="2"/>
      <c r="E32" s="2"/>
      <c r="H32" s="158" t="str">
        <f>H22</f>
        <v>Tooele County School District</v>
      </c>
      <c r="I32" s="222"/>
      <c r="J32" s="300">
        <f>'Updated Multi-Year Budget'!C44</f>
        <v>56610.912863999998</v>
      </c>
      <c r="L32" s="158" t="str">
        <f>L22</f>
        <v>Tooele County School District</v>
      </c>
      <c r="M32" s="222"/>
      <c r="N32" s="300">
        <f>'Updated Multi-Year Budget'!E44</f>
        <v>92116.722663000008</v>
      </c>
    </row>
    <row r="33" spans="1:14" x14ac:dyDescent="0.35">
      <c r="A33" s="172" t="str">
        <f>A23</f>
        <v>Tooele City</v>
      </c>
      <c r="B33" s="196"/>
      <c r="C33" s="196">
        <f>'Updated Multi-Year Budget'!C45</f>
        <v>24221.175695999998</v>
      </c>
      <c r="D33" s="2"/>
      <c r="E33" s="2"/>
      <c r="H33" s="172" t="str">
        <f>H23</f>
        <v>Tooele City</v>
      </c>
      <c r="I33" s="222"/>
      <c r="J33" s="301">
        <f>'Updated Multi-Year Budget'!C45</f>
        <v>24221.175695999998</v>
      </c>
      <c r="L33" s="172" t="str">
        <f>L23</f>
        <v>Tooele City</v>
      </c>
      <c r="M33" s="222"/>
      <c r="N33" s="301">
        <f>'Updated Multi-Year Budget'!E45</f>
        <v>47610.192912750004</v>
      </c>
    </row>
    <row r="34" spans="1:14" x14ac:dyDescent="0.35">
      <c r="A34" s="206" t="s">
        <v>14</v>
      </c>
      <c r="B34" s="182"/>
      <c r="C34" s="182">
        <f>SUM(C31:C33)</f>
        <v>92734.03667999999</v>
      </c>
      <c r="D34" s="2"/>
      <c r="E34" s="2"/>
      <c r="H34" s="206" t="s">
        <v>14</v>
      </c>
      <c r="I34" s="182"/>
      <c r="J34" s="299">
        <f>SUM(J31:J33)</f>
        <v>92734.03667999999</v>
      </c>
      <c r="L34" s="206" t="s">
        <v>14</v>
      </c>
      <c r="M34" s="182"/>
      <c r="N34" s="299">
        <f>SUM(N31:N33)</f>
        <v>159404.14002600001</v>
      </c>
    </row>
    <row r="35" spans="1:14" x14ac:dyDescent="0.35">
      <c r="A35" s="158" t="str">
        <f>'Updated Multi-Year Budget'!A47</f>
        <v xml:space="preserve">Interest Revenues Earned </v>
      </c>
      <c r="B35" s="195"/>
      <c r="C35" s="195">
        <f>LOOKUP($C$5,'Updated Multi-Year Budget'!$C$8:$V$8,'Updated Multi-Year Budget'!C47:V47)</f>
        <v>0</v>
      </c>
      <c r="D35" s="2"/>
      <c r="E35" s="2"/>
      <c r="H35" s="158" t="s">
        <v>141</v>
      </c>
      <c r="I35" s="195"/>
      <c r="J35" s="195">
        <f>LOOKUP($C$5,'Updated Multi-Year Budget'!$C$8:$V$8,'Updated Multi-Year Budget'!J47:AC47)</f>
        <v>0</v>
      </c>
      <c r="L35" s="158" t="s">
        <v>141</v>
      </c>
      <c r="M35" s="195"/>
      <c r="N35" s="195">
        <f>LOOKUP($C$5,'Updated Multi-Year Budget'!$C$8:$V$8,'Updated Multi-Year Budget'!N47:AG47)</f>
        <v>0</v>
      </c>
    </row>
    <row r="36" spans="1:14" x14ac:dyDescent="0.35">
      <c r="A36" s="158" t="str">
        <f>'Updated Multi-Year Budget'!A48</f>
        <v>Total Tax Uncollected Tax Increment</v>
      </c>
      <c r="B36" s="196"/>
      <c r="C36" s="196">
        <f>LOOKUP($C$5,'Updated Multi-Year Budget'!$C$8:$V$8,'Updated Multi-Year Budget'!C48:V48)</f>
        <v>0</v>
      </c>
      <c r="D36" s="2"/>
      <c r="E36" s="2"/>
      <c r="H36" s="158" t="s">
        <v>142</v>
      </c>
      <c r="I36" s="196"/>
      <c r="J36" s="196">
        <f>LOOKUP($C$5,'Updated Multi-Year Budget'!$C$8:$V$8,'Updated Multi-Year Budget'!J48:AC48)</f>
        <v>0</v>
      </c>
      <c r="L36" s="158" t="s">
        <v>142</v>
      </c>
      <c r="M36" s="196"/>
      <c r="N36" s="196">
        <f>LOOKUP($C$5,'Updated Multi-Year Budget'!$C$8:$V$8,'Updated Multi-Year Budget'!N48:AG48)</f>
        <v>0</v>
      </c>
    </row>
    <row r="37" spans="1:14" x14ac:dyDescent="0.35">
      <c r="A37" s="158" t="str">
        <f>'Updated Multi-Year Budget'!A49</f>
        <v>Total Tax Increment Actually Collected and Paid</v>
      </c>
      <c r="B37" s="196"/>
      <c r="C37" s="196">
        <f>LOOKUP($C$5,'Updated Multi-Year Budget'!$C$8:$V$8,'Updated Multi-Year Budget'!C49:V49)</f>
        <v>92734.03667999999</v>
      </c>
      <c r="D37" s="26"/>
      <c r="E37" s="2"/>
      <c r="H37" s="158" t="s">
        <v>16</v>
      </c>
      <c r="I37" s="196"/>
      <c r="J37" s="196">
        <f>'Updated Multi-Year Budget'!D49</f>
        <v>115346.89002600001</v>
      </c>
      <c r="L37" s="158" t="s">
        <v>16</v>
      </c>
      <c r="M37" s="196"/>
      <c r="N37" s="196">
        <f>'Updated Multi-Year Budget'!E49</f>
        <v>159404.14002600001</v>
      </c>
    </row>
    <row r="38" spans="1:14" x14ac:dyDescent="0.35">
      <c r="A38" s="158" t="s">
        <v>116</v>
      </c>
      <c r="B38" s="196"/>
      <c r="C38" s="196">
        <f>LOOKUP($C$5,'Updated Multi-Year Budget'!$C$8:$V$8,'Updated Multi-Year Budget'!C50:V50)</f>
        <v>150000</v>
      </c>
      <c r="D38" s="26"/>
      <c r="E38" s="2"/>
      <c r="H38" s="158" t="s">
        <v>116</v>
      </c>
      <c r="I38" s="196"/>
      <c r="J38" s="196">
        <f>'Updated Multi-Year Budget'!D50</f>
        <v>150000</v>
      </c>
      <c r="L38" s="158" t="s">
        <v>116</v>
      </c>
      <c r="M38" s="196"/>
      <c r="N38" s="196">
        <f>LOOKUP($C$5,'Updated Multi-Year Budget'!$C$8:$V$8,'Updated Multi-Year Budget'!N50:AG50)</f>
        <v>150000</v>
      </c>
    </row>
    <row r="39" spans="1:14" x14ac:dyDescent="0.35">
      <c r="A39" s="206" t="s">
        <v>98</v>
      </c>
      <c r="B39" s="182"/>
      <c r="C39" s="182">
        <f>LOOKUP($C$5,'Updated Multi-Year Budget'!$C$8:$V$8,'Updated Multi-Year Budget'!C51:V51)</f>
        <v>242734.03667999999</v>
      </c>
      <c r="D39" s="2"/>
      <c r="E39" s="2"/>
      <c r="H39" s="206" t="s">
        <v>98</v>
      </c>
      <c r="I39" s="182"/>
      <c r="J39" s="182">
        <f>SUM(J35:J38)</f>
        <v>265346.89002599998</v>
      </c>
      <c r="L39" s="206" t="s">
        <v>98</v>
      </c>
      <c r="M39" s="182"/>
      <c r="N39" s="182">
        <f>SUM(N37:N38)</f>
        <v>309404.14002599998</v>
      </c>
    </row>
    <row r="40" spans="1:14" ht="15" thickBot="1" x14ac:dyDescent="0.4">
      <c r="A40" s="103"/>
      <c r="B40" s="103"/>
      <c r="C40" s="17"/>
      <c r="D40" s="2"/>
      <c r="E40" s="2"/>
      <c r="H40" s="103"/>
      <c r="I40" s="103"/>
      <c r="J40" s="17"/>
      <c r="L40" s="103"/>
      <c r="M40" s="103"/>
      <c r="N40" s="17"/>
    </row>
    <row r="41" spans="1:14" x14ac:dyDescent="0.35">
      <c r="A41" s="152" t="s">
        <v>47</v>
      </c>
      <c r="B41" s="207"/>
      <c r="C41" s="207"/>
      <c r="D41" s="2"/>
      <c r="E41" s="2"/>
      <c r="H41" s="152" t="s">
        <v>47</v>
      </c>
      <c r="I41" s="207"/>
      <c r="J41" s="207"/>
      <c r="L41" s="152" t="s">
        <v>47</v>
      </c>
      <c r="M41" s="207"/>
      <c r="N41" s="207"/>
    </row>
    <row r="42" spans="1:14" x14ac:dyDescent="0.35">
      <c r="A42" s="205" t="s">
        <v>99</v>
      </c>
      <c r="B42" s="156"/>
      <c r="C42" s="156"/>
      <c r="D42" s="2"/>
      <c r="E42" s="2"/>
      <c r="H42" s="205" t="s">
        <v>99</v>
      </c>
      <c r="I42" s="156"/>
      <c r="J42" s="156"/>
      <c r="L42" s="205" t="s">
        <v>99</v>
      </c>
      <c r="M42" s="156"/>
      <c r="N42" s="156"/>
    </row>
    <row r="43" spans="1:14" x14ac:dyDescent="0.35">
      <c r="A43" s="158" t="s">
        <v>105</v>
      </c>
      <c r="B43" s="195"/>
      <c r="C43" s="196">
        <f>LOOKUP($C$5,'Updated Multi-Year Budget'!$C$8:$V$8,'Updated Multi-Year Budget'!C57:V57)</f>
        <v>4636.7018339999995</v>
      </c>
      <c r="D43" s="2"/>
      <c r="E43" s="2"/>
      <c r="H43" s="158" t="s">
        <v>105</v>
      </c>
      <c r="I43" s="195"/>
      <c r="J43" s="196">
        <f>'Updated Multi-Year Budget'!D57</f>
        <v>5767.344501300001</v>
      </c>
      <c r="L43" s="158" t="s">
        <v>105</v>
      </c>
      <c r="M43" s="195"/>
      <c r="N43" s="196">
        <f>'Updated Multi-Year Budget'!E57</f>
        <v>7970.2070013000011</v>
      </c>
    </row>
    <row r="44" spans="1:14" ht="16.5" hidden="1" customHeight="1" x14ac:dyDescent="0.35">
      <c r="A44" s="158" t="s">
        <v>106</v>
      </c>
      <c r="B44" s="196"/>
      <c r="C44" s="196" t="e">
        <f>LOOKUP($C$5,'Updated Multi-Year Budget'!$C$9:$V$9,'Updated Multi-Year Budget'!C58:V58)</f>
        <v>#N/A</v>
      </c>
      <c r="D44" s="2"/>
      <c r="E44" s="2"/>
      <c r="H44" s="158" t="s">
        <v>106</v>
      </c>
      <c r="I44" s="196"/>
      <c r="J44" s="196">
        <f>'Updated Multi-Year Budget'!D58</f>
        <v>0</v>
      </c>
      <c r="L44" s="158" t="s">
        <v>106</v>
      </c>
      <c r="M44" s="196"/>
      <c r="N44" s="196">
        <f>'Updated Multi-Year Budget'!E58</f>
        <v>0</v>
      </c>
    </row>
    <row r="45" spans="1:14" x14ac:dyDescent="0.35">
      <c r="A45" s="158" t="s">
        <v>113</v>
      </c>
      <c r="B45" s="196"/>
      <c r="C45" s="196">
        <f>LOOKUP($C$5,'Updated Multi-Year Budget'!$C$8:$V$8,'Updated Multi-Year Budget'!C59:V59)</f>
        <v>150000</v>
      </c>
      <c r="D45" s="2"/>
      <c r="E45" s="2"/>
      <c r="H45" s="158" t="s">
        <v>113</v>
      </c>
      <c r="I45" s="196"/>
      <c r="J45" s="196">
        <f>'Updated Multi-Year Budget'!D59</f>
        <v>150000</v>
      </c>
      <c r="L45" s="158" t="s">
        <v>113</v>
      </c>
      <c r="M45" s="196"/>
      <c r="N45" s="196">
        <f>'Updated Multi-Year Budget'!E59</f>
        <v>150000</v>
      </c>
    </row>
    <row r="46" spans="1:14" x14ac:dyDescent="0.35">
      <c r="A46" s="158" t="s">
        <v>114</v>
      </c>
      <c r="B46" s="196"/>
      <c r="C46" s="196">
        <f>LOOKUP($C$5,'Updated Multi-Year Budget'!$C$8:$V$8,'Updated Multi-Year Budget'!C60:V60)</f>
        <v>88097.334845999983</v>
      </c>
      <c r="D46" s="4"/>
      <c r="E46" s="2"/>
      <c r="H46" s="158" t="s">
        <v>114</v>
      </c>
      <c r="I46" s="196"/>
      <c r="J46" s="196">
        <f>'Updated Multi-Year Budget'!D60</f>
        <v>109579.54552470001</v>
      </c>
      <c r="L46" s="158" t="s">
        <v>114</v>
      </c>
      <c r="M46" s="196"/>
      <c r="N46" s="196">
        <f>'Updated Multi-Year Budget'!E60</f>
        <v>151433.9330247</v>
      </c>
    </row>
    <row r="47" spans="1:14" x14ac:dyDescent="0.35">
      <c r="A47" s="206" t="s">
        <v>51</v>
      </c>
      <c r="B47" s="182"/>
      <c r="C47" s="182">
        <f>LOOKUP($C$5,'Updated Multi-Year Budget'!$C$8:$V$8,'Updated Multi-Year Budget'!C61:V61)</f>
        <v>242734.03667999999</v>
      </c>
      <c r="D47" s="4"/>
      <c r="E47" s="2"/>
      <c r="H47" s="206" t="s">
        <v>51</v>
      </c>
      <c r="I47" s="182"/>
      <c r="J47" s="182">
        <f>SUM(J43:J46)</f>
        <v>265346.89002599998</v>
      </c>
      <c r="L47" s="206" t="s">
        <v>51</v>
      </c>
      <c r="M47" s="182"/>
      <c r="N47" s="182">
        <f>SUM(N43:N46)</f>
        <v>309404.14002599998</v>
      </c>
    </row>
    <row r="48" spans="1:14" ht="15" thickBot="1" x14ac:dyDescent="0.4">
      <c r="A48" s="103"/>
      <c r="B48" s="103"/>
      <c r="C48" s="17"/>
      <c r="D48" s="4"/>
      <c r="E48" s="2"/>
      <c r="H48" s="103"/>
      <c r="I48" s="103"/>
      <c r="J48" s="17"/>
      <c r="L48" s="103"/>
      <c r="M48" s="103"/>
      <c r="N48" s="17"/>
    </row>
    <row r="49" spans="1:14" x14ac:dyDescent="0.35">
      <c r="A49" s="205" t="s">
        <v>100</v>
      </c>
      <c r="B49" s="156"/>
      <c r="C49" s="156"/>
      <c r="D49" s="2"/>
      <c r="E49" s="2"/>
      <c r="H49" s="205" t="s">
        <v>100</v>
      </c>
      <c r="I49" s="156"/>
      <c r="J49" s="298"/>
      <c r="L49" s="205" t="s">
        <v>100</v>
      </c>
      <c r="M49" s="156"/>
      <c r="N49" s="298"/>
    </row>
    <row r="50" spans="1:14" x14ac:dyDescent="0.35">
      <c r="A50" s="158" t="s">
        <v>53</v>
      </c>
      <c r="B50" s="195"/>
      <c r="C50" s="195">
        <f>LOOKUP($C$5,'Updated Multi-Year Budget'!$C$8:$V$8,'Updated Multi-Year Budget'!C64:V64)</f>
        <v>3967.3160399999997</v>
      </c>
      <c r="D50" s="4"/>
      <c r="E50" s="2"/>
      <c r="H50" s="158" t="s">
        <v>53</v>
      </c>
      <c r="I50" s="223"/>
      <c r="J50" s="195">
        <f>'Updated Multi-Year Budget'!D64</f>
        <v>4746.2310667500005</v>
      </c>
      <c r="L50" s="158" t="s">
        <v>53</v>
      </c>
      <c r="M50" s="223"/>
      <c r="N50" s="195">
        <f>'Updated Multi-Year Budget'!E64</f>
        <v>6559.0748167499987</v>
      </c>
    </row>
    <row r="51" spans="1:14" x14ac:dyDescent="0.35">
      <c r="A51" s="158" t="s">
        <v>57</v>
      </c>
      <c r="B51" s="196"/>
      <c r="C51" s="196">
        <f>LOOKUP($C$5,'Updated Multi-Year Budget'!$C$8:$V$8,'Updated Multi-Year Budget'!C65:V65)</f>
        <v>56610.912863999998</v>
      </c>
      <c r="D51" s="4"/>
      <c r="E51" s="2"/>
      <c r="H51" s="158" t="s">
        <v>57</v>
      </c>
      <c r="I51" s="222"/>
      <c r="J51" s="300">
        <f>'Updated Multi-Year Budget'!D65</f>
        <v>66656.847663000008</v>
      </c>
      <c r="L51" s="158" t="s">
        <v>57</v>
      </c>
      <c r="M51" s="222"/>
      <c r="N51" s="300">
        <f>'Updated Multi-Year Budget'!E65</f>
        <v>92116.722663000008</v>
      </c>
    </row>
    <row r="52" spans="1:14" x14ac:dyDescent="0.35">
      <c r="A52" s="172" t="s">
        <v>54</v>
      </c>
      <c r="B52" s="201"/>
      <c r="C52" s="201">
        <f>LOOKUP($C$5,'Updated Multi-Year Budget'!$C$8:$V$8,'Updated Multi-Year Budget'!C66:V66)</f>
        <v>8073.7252320000007</v>
      </c>
      <c r="D52" s="4"/>
      <c r="E52" s="2"/>
      <c r="H52" s="172" t="s">
        <v>54</v>
      </c>
      <c r="I52" s="297"/>
      <c r="J52" s="301">
        <f>'Updated Multi-Year Budget'!D66</f>
        <v>11483.783054250001</v>
      </c>
      <c r="L52" s="172" t="s">
        <v>54</v>
      </c>
      <c r="M52" s="297"/>
      <c r="N52" s="301">
        <f>'Updated Multi-Year Budget'!E66</f>
        <v>15870.064304250001</v>
      </c>
    </row>
    <row r="53" spans="1:14" x14ac:dyDescent="0.35">
      <c r="A53" s="104"/>
      <c r="B53" s="104"/>
      <c r="C53" s="3"/>
      <c r="D53" s="4"/>
      <c r="E53" s="2"/>
    </row>
    <row r="54" spans="1:14" x14ac:dyDescent="0.35">
      <c r="D54" s="3"/>
      <c r="E54" s="3"/>
    </row>
  </sheetData>
  <mergeCells count="3">
    <mergeCell ref="A3:A5"/>
    <mergeCell ref="H3:H5"/>
    <mergeCell ref="L3:L5"/>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D2051-80F3-44B7-9444-0F2096C6FDDD}">
  <dimension ref="B2:J26"/>
  <sheetViews>
    <sheetView workbookViewId="0">
      <selection activeCell="L20" sqref="L20"/>
    </sheetView>
  </sheetViews>
  <sheetFormatPr defaultRowHeight="14.5" x14ac:dyDescent="0.35"/>
  <cols>
    <col min="2" max="2" width="13.1796875" bestFit="1" customWidth="1"/>
  </cols>
  <sheetData>
    <row r="2" spans="2:10" x14ac:dyDescent="0.35">
      <c r="B2" t="s">
        <v>1</v>
      </c>
      <c r="C2">
        <v>2018</v>
      </c>
      <c r="D2" s="133">
        <v>2019</v>
      </c>
      <c r="E2">
        <v>2020</v>
      </c>
    </row>
    <row r="3" spans="2:10" x14ac:dyDescent="0.35">
      <c r="B3" s="132" t="s">
        <v>3</v>
      </c>
      <c r="C3" s="132">
        <v>2019</v>
      </c>
      <c r="D3" s="134">
        <v>2020</v>
      </c>
      <c r="E3" s="132">
        <v>2021</v>
      </c>
      <c r="F3" s="132"/>
      <c r="G3" s="132"/>
      <c r="H3" s="132"/>
      <c r="I3" s="132"/>
    </row>
    <row r="4" spans="2:10" x14ac:dyDescent="0.35">
      <c r="B4" t="s">
        <v>58</v>
      </c>
      <c r="C4">
        <v>874</v>
      </c>
      <c r="D4" s="133">
        <f>C4+D26</f>
        <v>951.6</v>
      </c>
      <c r="E4">
        <f>D4+E26</f>
        <v>966.78</v>
      </c>
    </row>
    <row r="5" spans="2:10" x14ac:dyDescent="0.35">
      <c r="B5" t="s">
        <v>59</v>
      </c>
      <c r="C5">
        <f>+C6-C4</f>
        <v>352</v>
      </c>
      <c r="D5" s="133">
        <f>D6-D4</f>
        <v>274.39999999999998</v>
      </c>
      <c r="E5">
        <f>E6-E4</f>
        <v>259.22000000000003</v>
      </c>
    </row>
    <row r="6" spans="2:10" x14ac:dyDescent="0.35">
      <c r="B6" t="s">
        <v>68</v>
      </c>
      <c r="C6">
        <v>1226</v>
      </c>
      <c r="D6" s="133">
        <f>C6</f>
        <v>1226</v>
      </c>
      <c r="E6">
        <f>D6</f>
        <v>1226</v>
      </c>
    </row>
    <row r="7" spans="2:10" x14ac:dyDescent="0.35">
      <c r="B7" t="s">
        <v>71</v>
      </c>
      <c r="C7" s="135">
        <f>C4/C6</f>
        <v>0.71288743882544858</v>
      </c>
      <c r="D7" s="136">
        <f t="shared" ref="D7:E7" si="0">D4/D6</f>
        <v>0.77618270799347477</v>
      </c>
      <c r="E7" s="141">
        <f t="shared" si="0"/>
        <v>0.78856443719412717</v>
      </c>
    </row>
    <row r="8" spans="2:10" x14ac:dyDescent="0.35">
      <c r="B8" t="s">
        <v>72</v>
      </c>
      <c r="C8" s="135">
        <f>C5/C6</f>
        <v>0.28711256117455136</v>
      </c>
      <c r="D8" s="136">
        <f t="shared" ref="D8:E8" si="1">D5/D6</f>
        <v>0.22381729200652525</v>
      </c>
      <c r="E8" s="141">
        <f t="shared" si="1"/>
        <v>0.21143556280587278</v>
      </c>
    </row>
    <row r="14" spans="2:10" x14ac:dyDescent="0.35">
      <c r="D14" s="133">
        <v>2019</v>
      </c>
      <c r="E14">
        <v>2020</v>
      </c>
      <c r="F14">
        <f>E14+1</f>
        <v>2021</v>
      </c>
    </row>
    <row r="15" spans="2:10" x14ac:dyDescent="0.35">
      <c r="B15" s="132" t="s">
        <v>69</v>
      </c>
      <c r="C15" s="132"/>
      <c r="D15" s="134">
        <v>2020</v>
      </c>
      <c r="E15" s="132">
        <v>2021</v>
      </c>
      <c r="F15" s="132">
        <f>E15+1</f>
        <v>2022</v>
      </c>
      <c r="G15" s="132"/>
      <c r="H15" s="132"/>
      <c r="I15" s="132"/>
      <c r="J15" s="132"/>
    </row>
    <row r="16" spans="2:10" x14ac:dyDescent="0.35">
      <c r="D16" s="133">
        <v>5.5</v>
      </c>
      <c r="E16">
        <f>6.88+8.3</f>
        <v>15.18</v>
      </c>
    </row>
    <row r="17" spans="2:10" x14ac:dyDescent="0.35">
      <c r="D17" s="133">
        <v>72.099999999999994</v>
      </c>
    </row>
    <row r="18" spans="2:10" x14ac:dyDescent="0.35">
      <c r="D18" s="133"/>
    </row>
    <row r="19" spans="2:10" x14ac:dyDescent="0.35">
      <c r="D19" s="133"/>
    </row>
    <row r="20" spans="2:10" x14ac:dyDescent="0.35">
      <c r="D20" s="133"/>
    </row>
    <row r="21" spans="2:10" x14ac:dyDescent="0.35">
      <c r="D21" s="133"/>
    </row>
    <row r="22" spans="2:10" x14ac:dyDescent="0.35">
      <c r="D22" s="133"/>
    </row>
    <row r="23" spans="2:10" x14ac:dyDescent="0.35">
      <c r="D23" s="133"/>
    </row>
    <row r="24" spans="2:10" x14ac:dyDescent="0.35">
      <c r="D24" s="133"/>
    </row>
    <row r="25" spans="2:10" x14ac:dyDescent="0.35">
      <c r="B25" s="132"/>
      <c r="C25" s="132"/>
      <c r="D25" s="134"/>
      <c r="E25" s="132"/>
      <c r="F25" s="132"/>
      <c r="G25" s="132"/>
      <c r="H25" s="132"/>
      <c r="I25" s="132"/>
      <c r="J25" s="132"/>
    </row>
    <row r="26" spans="2:10" x14ac:dyDescent="0.35">
      <c r="B26" t="s">
        <v>70</v>
      </c>
      <c r="D26" s="133">
        <f>SUM(D16:D25)</f>
        <v>77.599999999999994</v>
      </c>
      <c r="E26">
        <f t="shared" ref="E26:J26" si="2">SUM(E16:E25)</f>
        <v>15.18</v>
      </c>
      <c r="F26">
        <f t="shared" si="2"/>
        <v>0</v>
      </c>
      <c r="G26">
        <f t="shared" si="2"/>
        <v>0</v>
      </c>
      <c r="H26">
        <f t="shared" si="2"/>
        <v>0</v>
      </c>
      <c r="I26">
        <f t="shared" si="2"/>
        <v>0</v>
      </c>
      <c r="J26">
        <f t="shared" si="2"/>
        <v>0</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Updated Multi-Year Budget</vt:lpstr>
      <vt:lpstr>Sheet1</vt:lpstr>
      <vt:lpstr>Annual Budget</vt:lpstr>
      <vt:lpstr>Acreage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Hill</dc:creator>
  <cp:lastModifiedBy>Ryan Barker</cp:lastModifiedBy>
  <dcterms:created xsi:type="dcterms:W3CDTF">2019-10-30T21:12:06Z</dcterms:created>
  <dcterms:modified xsi:type="dcterms:W3CDTF">2025-12-31T00:45:43Z</dcterms:modified>
</cp:coreProperties>
</file>